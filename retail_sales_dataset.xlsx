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anesh\Desktop\Data Analytics\Github\Excel project\"/>
    </mc:Choice>
  </mc:AlternateContent>
  <xr:revisionPtr revIDLastSave="0" documentId="13_ncr:2001_{FF513F14-002D-4F91-A6CF-379A14B70789}" xr6:coauthVersionLast="47" xr6:coauthVersionMax="47" xr10:uidLastSave="{00000000-0000-0000-0000-000000000000}"/>
  <bookViews>
    <workbookView xWindow="-110" yWindow="-110" windowWidth="19420" windowHeight="11500" firstSheet="1" xr2:uid="{00000000-000D-0000-FFFF-FFFF00000000}"/>
  </bookViews>
  <sheets>
    <sheet name="Dashboard" sheetId="7" r:id="rId1"/>
    <sheet name="Monthly Sales Analysis" sheetId="4" r:id="rId2"/>
    <sheet name="Product Analysis" sheetId="5" r:id="rId3"/>
    <sheet name="City Analysis" sheetId="6" r:id="rId4"/>
    <sheet name="Raw_Data" sheetId="1" r:id="rId5"/>
    <sheet name="KPI_Summary" sheetId="3" r:id="rId6"/>
    <sheet name="Cleaned_Data" sheetId="2" r:id="rId7"/>
  </sheets>
  <definedNames>
    <definedName name="_xlnm._FilterDatabase" localSheetId="2" hidden="1">'Product Analysis'!$F$3:$I$16</definedName>
  </definedNames>
  <calcPr calcId="191029"/>
  <pivotCaches>
    <pivotCache cacheId="8" r:id="rId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7" l="1"/>
  <c r="B7" i="7"/>
  <c r="B6" i="7"/>
  <c r="B5" i="7"/>
  <c r="B4" i="7"/>
  <c r="B3" i="7"/>
  <c r="I14" i="5"/>
  <c r="I8" i="5"/>
  <c r="I6" i="5"/>
  <c r="I5" i="5"/>
  <c r="I16" i="5"/>
  <c r="I9" i="5"/>
  <c r="I4" i="5"/>
  <c r="I11" i="5"/>
  <c r="I12" i="5"/>
  <c r="I15" i="5"/>
  <c r="I10" i="5"/>
  <c r="I13" i="5"/>
  <c r="I7" i="5"/>
  <c r="D6" i="5"/>
  <c r="D7" i="5"/>
  <c r="D8" i="5"/>
  <c r="D9" i="5"/>
  <c r="D10" i="5"/>
  <c r="D11" i="5"/>
  <c r="D12" i="5"/>
  <c r="D13" i="5"/>
  <c r="D14" i="5"/>
  <c r="D15" i="5"/>
  <c r="D16" i="5"/>
  <c r="D5" i="5"/>
  <c r="D4" i="5"/>
  <c r="C5" i="4"/>
  <c r="B6" i="3"/>
  <c r="B5" i="3"/>
  <c r="B4" i="3"/>
  <c r="B3" i="3"/>
  <c r="B2" i="3"/>
  <c r="B1" i="3"/>
  <c r="R4" i="1"/>
  <c r="R3" i="1"/>
  <c r="R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</calcChain>
</file>

<file path=xl/sharedStrings.xml><?xml version="1.0" encoding="utf-8"?>
<sst xmlns="http://schemas.openxmlformats.org/spreadsheetml/2006/main" count="3595" uniqueCount="603">
  <si>
    <t>Order ID</t>
  </si>
  <si>
    <t>Order Date</t>
  </si>
  <si>
    <t>Customer Name</t>
  </si>
  <si>
    <t>City</t>
  </si>
  <si>
    <t>State</t>
  </si>
  <si>
    <t>Product</t>
  </si>
  <si>
    <t>Category</t>
  </si>
  <si>
    <t>Quantity</t>
  </si>
  <si>
    <t>Discount</t>
  </si>
  <si>
    <t>Unit Price</t>
  </si>
  <si>
    <t>Sales</t>
  </si>
  <si>
    <t>Cost</t>
  </si>
  <si>
    <t>Profit</t>
  </si>
  <si>
    <t>Payment Mode</t>
  </si>
  <si>
    <t>ORD10183</t>
  </si>
  <si>
    <t>Isha Bhosale</t>
  </si>
  <si>
    <t>Delhi</t>
  </si>
  <si>
    <t>Printer</t>
  </si>
  <si>
    <t>Electronics</t>
  </si>
  <si>
    <t>Cash</t>
  </si>
  <si>
    <t>ORD10118</t>
  </si>
  <si>
    <t>Aarav Sharma</t>
  </si>
  <si>
    <t>Pune</t>
  </si>
  <si>
    <t>Maharashtra</t>
  </si>
  <si>
    <t>Office Chair</t>
  </si>
  <si>
    <t>Furniture</t>
  </si>
  <si>
    <t>Net Banking</t>
  </si>
  <si>
    <t>ORD10025</t>
  </si>
  <si>
    <t>Mumbai</t>
  </si>
  <si>
    <t>ORD10455</t>
  </si>
  <si>
    <t>Swati Kale</t>
  </si>
  <si>
    <t>Nagpur</t>
  </si>
  <si>
    <t>Laptop</t>
  </si>
  <si>
    <t>ORD10440</t>
  </si>
  <si>
    <t>Meera Desai</t>
  </si>
  <si>
    <t>Mouse</t>
  </si>
  <si>
    <t>Accessories</t>
  </si>
  <si>
    <t>Debit Card</t>
  </si>
  <si>
    <t>ORD10394</t>
  </si>
  <si>
    <t>Akash Wagh</t>
  </si>
  <si>
    <t>Latur</t>
  </si>
  <si>
    <t>Backpack</t>
  </si>
  <si>
    <t>Bags</t>
  </si>
  <si>
    <t>UPI</t>
  </si>
  <si>
    <t>ORD10189</t>
  </si>
  <si>
    <t>Nikhil Gupta</t>
  </si>
  <si>
    <t>Aurangabad</t>
  </si>
  <si>
    <t>Bookshelf</t>
  </si>
  <si>
    <t>Credit Card</t>
  </si>
  <si>
    <t>ORD10272</t>
  </si>
  <si>
    <t>Priya Patil</t>
  </si>
  <si>
    <t>ORD10401</t>
  </si>
  <si>
    <t>ORD10329</t>
  </si>
  <si>
    <t>Hyderabad</t>
  </si>
  <si>
    <t>Telangana</t>
  </si>
  <si>
    <t>ORD10368</t>
  </si>
  <si>
    <t>Pooja Shinde</t>
  </si>
  <si>
    <t>ORD10069</t>
  </si>
  <si>
    <t>ORD10032</t>
  </si>
  <si>
    <t>Rohan Deshmukh</t>
  </si>
  <si>
    <t>Headphones</t>
  </si>
  <si>
    <t>ORD10134</t>
  </si>
  <si>
    <t>Vivek More</t>
  </si>
  <si>
    <t>ORD10267</t>
  </si>
  <si>
    <t>Neha Jadhav</t>
  </si>
  <si>
    <t>Smartphone</t>
  </si>
  <si>
    <t>ORD10117</t>
  </si>
  <si>
    <t>Anjali Chavan</t>
  </si>
  <si>
    <t>ORD10081</t>
  </si>
  <si>
    <t>ORD10237</t>
  </si>
  <si>
    <t xml:space="preserve"> Priya Patil </t>
  </si>
  <si>
    <t>ORD10067</t>
  </si>
  <si>
    <t>Riya Shah</t>
  </si>
  <si>
    <t>Ahmedabad</t>
  </si>
  <si>
    <t>Gujarat</t>
  </si>
  <si>
    <t>Tablet</t>
  </si>
  <si>
    <t>ORD10243</t>
  </si>
  <si>
    <t>Study Table</t>
  </si>
  <si>
    <t>ORD10340</t>
  </si>
  <si>
    <t>ORD10481</t>
  </si>
  <si>
    <t>Sagar Mane</t>
  </si>
  <si>
    <t>ORD10352</t>
  </si>
  <si>
    <t>ORD10221</t>
  </si>
  <si>
    <t>Nashik</t>
  </si>
  <si>
    <t>ORD10172</t>
  </si>
  <si>
    <t>Amit Verma</t>
  </si>
  <si>
    <t>Indore</t>
  </si>
  <si>
    <t>Madhya Pradesh</t>
  </si>
  <si>
    <t>ORD10082</t>
  </si>
  <si>
    <t>Kunal Thakur</t>
  </si>
  <si>
    <t>ORD10252</t>
  </si>
  <si>
    <t>ORD10098</t>
  </si>
  <si>
    <t>ORD10083</t>
  </si>
  <si>
    <t>Aditya Joshi</t>
  </si>
  <si>
    <t>ORD10433</t>
  </si>
  <si>
    <t>Rahul Pawar</t>
  </si>
  <si>
    <t>ORD10404</t>
  </si>
  <si>
    <t>ORD10109</t>
  </si>
  <si>
    <t>ORD10123</t>
  </si>
  <si>
    <t>ORD10431</t>
  </si>
  <si>
    <t>ORD10334</t>
  </si>
  <si>
    <t>Monitor</t>
  </si>
  <si>
    <t>ORD10159</t>
  </si>
  <si>
    <t>ORD10399</t>
  </si>
  <si>
    <t>ORD10438</t>
  </si>
  <si>
    <t>Bengaluru</t>
  </si>
  <si>
    <t>Karnataka</t>
  </si>
  <si>
    <t>Keyboard</t>
  </si>
  <si>
    <t>ORD10103</t>
  </si>
  <si>
    <t>ORD10384</t>
  </si>
  <si>
    <t>ORD10357</t>
  </si>
  <si>
    <t>ORD10224</t>
  </si>
  <si>
    <t>ORD10212</t>
  </si>
  <si>
    <t>ORD10065</t>
  </si>
  <si>
    <t>ORD10239</t>
  </si>
  <si>
    <t>ORD10014</t>
  </si>
  <si>
    <t>Sneha Kulkarni</t>
  </si>
  <si>
    <t>ORD10247</t>
  </si>
  <si>
    <t>ORD10344</t>
  </si>
  <si>
    <t>ORD10264</t>
  </si>
  <si>
    <t>ORD10152</t>
  </si>
  <si>
    <t>ORD10165</t>
  </si>
  <si>
    <t>ORD10281</t>
  </si>
  <si>
    <t>ORD10395</t>
  </si>
  <si>
    <t>ORD10157</t>
  </si>
  <si>
    <t>ORD10214</t>
  </si>
  <si>
    <t>ORD10203</t>
  </si>
  <si>
    <t>ORD10419</t>
  </si>
  <si>
    <t>ORD10240</t>
  </si>
  <si>
    <t>ORD10093</t>
  </si>
  <si>
    <t>ORD10138</t>
  </si>
  <si>
    <t>ORD10010</t>
  </si>
  <si>
    <t>ORD10414</t>
  </si>
  <si>
    <t>ORD10220</t>
  </si>
  <si>
    <t>ORD10271</t>
  </si>
  <si>
    <t xml:space="preserve">Pune </t>
  </si>
  <si>
    <t>ORD10133</t>
  </si>
  <si>
    <t>ORD10415</t>
  </si>
  <si>
    <t>ORD10044</t>
  </si>
  <si>
    <t>ORD10042</t>
  </si>
  <si>
    <t>ORD10003</t>
  </si>
  <si>
    <t>ORD10304</t>
  </si>
  <si>
    <t>ORD10006</t>
  </si>
  <si>
    <t>ORD10055</t>
  </si>
  <si>
    <t>ORD10342</t>
  </si>
  <si>
    <t>ORD10355</t>
  </si>
  <si>
    <t>ORD10343</t>
  </si>
  <si>
    <t>ORD10489</t>
  </si>
  <si>
    <t>ORD10038</t>
  </si>
  <si>
    <t>ORD10034</t>
  </si>
  <si>
    <t>ORD10361</t>
  </si>
  <si>
    <t>ORD10409</t>
  </si>
  <si>
    <t>ORD10089</t>
  </si>
  <si>
    <t>ORD10053</t>
  </si>
  <si>
    <t>ORD10447</t>
  </si>
  <si>
    <t>ORD10009</t>
  </si>
  <si>
    <t>ORD10192</t>
  </si>
  <si>
    <t>ORD10013</t>
  </si>
  <si>
    <t>ORD10251</t>
  </si>
  <si>
    <t>ORD10336</t>
  </si>
  <si>
    <t>ORD10210</t>
  </si>
  <si>
    <t>ORD10076</t>
  </si>
  <si>
    <t>ORD10262</t>
  </si>
  <si>
    <t>ORD10059</t>
  </si>
  <si>
    <t>ORD10450</t>
  </si>
  <si>
    <t>ORD10211</t>
  </si>
  <si>
    <t>ORD10080</t>
  </si>
  <si>
    <t>ORD10459</t>
  </si>
  <si>
    <t>Kavita Singh</t>
  </si>
  <si>
    <t>ORD10195</t>
  </si>
  <si>
    <t>ORD10094</t>
  </si>
  <si>
    <t>ORD10299</t>
  </si>
  <si>
    <t>ORD10054</t>
  </si>
  <si>
    <t>ORD10273</t>
  </si>
  <si>
    <t>ORD10495</t>
  </si>
  <si>
    <t>ORD10168</t>
  </si>
  <si>
    <t>ORD10236</t>
  </si>
  <si>
    <t>ORD10062</t>
  </si>
  <si>
    <t>ORD10120</t>
  </si>
  <si>
    <t>ORD10393</t>
  </si>
  <si>
    <t>ORD10019</t>
  </si>
  <si>
    <t>ORD10149</t>
  </si>
  <si>
    <t>ORD10070</t>
  </si>
  <si>
    <t>ORD10171</t>
  </si>
  <si>
    <t>ORD10160</t>
  </si>
  <si>
    <t>ORD10373</t>
  </si>
  <si>
    <t>ORD10166</t>
  </si>
  <si>
    <t>ORD10465</t>
  </si>
  <si>
    <t>ORD10096</t>
  </si>
  <si>
    <t>ORD10462</t>
  </si>
  <si>
    <t>ORD10432</t>
  </si>
  <si>
    <t>ORD10303</t>
  </si>
  <si>
    <t>ORD10377</t>
  </si>
  <si>
    <t>ORD10116</t>
  </si>
  <si>
    <t>ORD10046</t>
  </si>
  <si>
    <t>upi</t>
  </si>
  <si>
    <t>ORD10441</t>
  </si>
  <si>
    <t>ORD10099</t>
  </si>
  <si>
    <t>ORD10074</t>
  </si>
  <si>
    <t>ORD10315</t>
  </si>
  <si>
    <t>ORD10227</t>
  </si>
  <si>
    <t>ORD10158</t>
  </si>
  <si>
    <t>ORD10353</t>
  </si>
  <si>
    <t>ORD10391</t>
  </si>
  <si>
    <t>ORD10196</t>
  </si>
  <si>
    <t>ORD10039</t>
  </si>
  <si>
    <t>ORD10135</t>
  </si>
  <si>
    <t>ORD10250</t>
  </si>
  <si>
    <t>ORD10327</t>
  </si>
  <si>
    <t>ORD10358</t>
  </si>
  <si>
    <t>ORD10027</t>
  </si>
  <si>
    <t>ORD10075</t>
  </si>
  <si>
    <t>ORD10169</t>
  </si>
  <si>
    <t>ORD10474</t>
  </si>
  <si>
    <t>ORD10473</t>
  </si>
  <si>
    <t>ORD10249</t>
  </si>
  <si>
    <t>ORD10137</t>
  </si>
  <si>
    <t>ORD10207</t>
  </si>
  <si>
    <t>ORD10257</t>
  </si>
  <si>
    <t>ORD10223</t>
  </si>
  <si>
    <t>ORD10448</t>
  </si>
  <si>
    <t>ORD10104</t>
  </si>
  <si>
    <t>ORD10127</t>
  </si>
  <si>
    <t>ORD10085</t>
  </si>
  <si>
    <t>ORD10461</t>
  </si>
  <si>
    <t>ORD10485</t>
  </si>
  <si>
    <t>ORD10320</t>
  </si>
  <si>
    <t>ORD10261</t>
  </si>
  <si>
    <t>ORD10113</t>
  </si>
  <si>
    <t>ORD10244</t>
  </si>
  <si>
    <t>ORD10290</t>
  </si>
  <si>
    <t>ORD10382</t>
  </si>
  <si>
    <t>ORD10275</t>
  </si>
  <si>
    <t>ORD10464</t>
  </si>
  <si>
    <t>ORD10289</t>
  </si>
  <si>
    <t>ORD10270</t>
  </si>
  <si>
    <t>ORD10204</t>
  </si>
  <si>
    <t>ORD10341</t>
  </si>
  <si>
    <t>ORD10259</t>
  </si>
  <si>
    <t>ORD10182</t>
  </si>
  <si>
    <t>ORD10184</t>
  </si>
  <si>
    <t>ORD10296</t>
  </si>
  <si>
    <t>ORD10347</t>
  </si>
  <si>
    <t>ORD10245</t>
  </si>
  <si>
    <t>ORD10001</t>
  </si>
  <si>
    <t>ORD10339</t>
  </si>
  <si>
    <t>ORD10406</t>
  </si>
  <si>
    <t>ORD10148</t>
  </si>
  <si>
    <t>ORD10322</t>
  </si>
  <si>
    <t>ORD10326</t>
  </si>
  <si>
    <t>ORD10178</t>
  </si>
  <si>
    <t>ORD10470</t>
  </si>
  <si>
    <t>ORD10263</t>
  </si>
  <si>
    <t>ORD10020</t>
  </si>
  <si>
    <t>ORD10413</t>
  </si>
  <si>
    <t>ORD10403</t>
  </si>
  <si>
    <t>ORD10056</t>
  </si>
  <si>
    <t>ORD10238</t>
  </si>
  <si>
    <t>ORD10359</t>
  </si>
  <si>
    <t>ORD10408</t>
  </si>
  <si>
    <t>ORD10015</t>
  </si>
  <si>
    <t>ORD10029</t>
  </si>
  <si>
    <t>ORD10360</t>
  </si>
  <si>
    <t>ORD10215</t>
  </si>
  <si>
    <t>ORD10201</t>
  </si>
  <si>
    <t>ORD10442</t>
  </si>
  <si>
    <t>ORD10190</t>
  </si>
  <si>
    <t>ORD10092</t>
  </si>
  <si>
    <t>ORD10386</t>
  </si>
  <si>
    <t>ORD10390</t>
  </si>
  <si>
    <t>ORD10421</t>
  </si>
  <si>
    <t>ORD10488</t>
  </si>
  <si>
    <t>ORD10348</t>
  </si>
  <si>
    <t>ORD10037</t>
  </si>
  <si>
    <t>ORD10363</t>
  </si>
  <si>
    <t>ORD10084</t>
  </si>
  <si>
    <t>ORD10162</t>
  </si>
  <si>
    <t>ORD10225</t>
  </si>
  <si>
    <t>ORD10310</t>
  </si>
  <si>
    <t>ORD10173</t>
  </si>
  <si>
    <t>ORD10328</t>
  </si>
  <si>
    <t>ORD10333</t>
  </si>
  <si>
    <t>ORD10398</t>
  </si>
  <si>
    <t>ORD10407</t>
  </si>
  <si>
    <t>ORD10023</t>
  </si>
  <si>
    <t>ORD10354</t>
  </si>
  <si>
    <t>ORD10410</t>
  </si>
  <si>
    <t>ORD10077</t>
  </si>
  <si>
    <t>ORD10052</t>
  </si>
  <si>
    <t>ORD10024</t>
  </si>
  <si>
    <t>ORD10268</t>
  </si>
  <si>
    <t>ORD10283</t>
  </si>
  <si>
    <t>ORD10078</t>
  </si>
  <si>
    <t>ORD10285</t>
  </si>
  <si>
    <t>ORD10316</t>
  </si>
  <si>
    <t>ORD10491</t>
  </si>
  <si>
    <t>ORD10101</t>
  </si>
  <si>
    <t>ORD10318</t>
  </si>
  <si>
    <t>ORD10040</t>
  </si>
  <si>
    <t>ORD10208</t>
  </si>
  <si>
    <t>ORD10167</t>
  </si>
  <si>
    <t>ORD10114</t>
  </si>
  <si>
    <t>ORD10256</t>
  </si>
  <si>
    <t>ORD10161</t>
  </si>
  <si>
    <t>ORD10453</t>
  </si>
  <si>
    <t>ORD10265</t>
  </si>
  <si>
    <t>ORD10242</t>
  </si>
  <si>
    <t>ORD10278</t>
  </si>
  <si>
    <t>ORD10458</t>
  </si>
  <si>
    <t>ORD10317</t>
  </si>
  <si>
    <t>ORD10048</t>
  </si>
  <si>
    <t>ORD10420</t>
  </si>
  <si>
    <t>ORD10397</t>
  </si>
  <si>
    <t>ORD10335</t>
  </si>
  <si>
    <t>ORD10456</t>
  </si>
  <si>
    <t>ORD10248</t>
  </si>
  <si>
    <t>ORD10213</t>
  </si>
  <si>
    <t>ORD10417</t>
  </si>
  <si>
    <t>ORD10365</t>
  </si>
  <si>
    <t xml:space="preserve">Rohan Deshmukh  </t>
  </si>
  <si>
    <t>ORD10452</t>
  </si>
  <si>
    <t>ORD10309</t>
  </si>
  <si>
    <t>ORD10145</t>
  </si>
  <si>
    <t>ORD10277</t>
  </si>
  <si>
    <t>ORD10047</t>
  </si>
  <si>
    <t>ORD10186</t>
  </si>
  <si>
    <t>ORD10151</t>
  </si>
  <si>
    <t>ORD10378</t>
  </si>
  <si>
    <t>ORD10457</t>
  </si>
  <si>
    <t>ORD10136</t>
  </si>
  <si>
    <t>ORD10266</t>
  </si>
  <si>
    <t>ORD10021</t>
  </si>
  <si>
    <t>ORD10476</t>
  </si>
  <si>
    <t>ORD10033</t>
  </si>
  <si>
    <t>ORD10232</t>
  </si>
  <si>
    <t>ORD10337</t>
  </si>
  <si>
    <t>ORD10125</t>
  </si>
  <si>
    <t>ORD10229</t>
  </si>
  <si>
    <t>ORD10061</t>
  </si>
  <si>
    <t>ORD10305</t>
  </si>
  <si>
    <t>ORD10331</t>
  </si>
  <si>
    <t>ORD10234</t>
  </si>
  <si>
    <t>ORD10156</t>
  </si>
  <si>
    <t>ORD10434</t>
  </si>
  <si>
    <t>ORD10301</t>
  </si>
  <si>
    <t>ORD10147</t>
  </si>
  <si>
    <t>ORD10050</t>
  </si>
  <si>
    <t>ORD10219</t>
  </si>
  <si>
    <t>ORD10402</t>
  </si>
  <si>
    <t>ORD10132</t>
  </si>
  <si>
    <t>ORD10479</t>
  </si>
  <si>
    <t>ORD10022</t>
  </si>
  <si>
    <t>ORD10312</t>
  </si>
  <si>
    <t>ORD10007</t>
  </si>
  <si>
    <t>ORD10206</t>
  </si>
  <si>
    <t>ORD10423</t>
  </si>
  <si>
    <t>ORD10293</t>
  </si>
  <si>
    <t>ORD10388</t>
  </si>
  <si>
    <t>ORD10175</t>
  </si>
  <si>
    <t>ORD10446</t>
  </si>
  <si>
    <t>ORD10205</t>
  </si>
  <si>
    <t>ORD10429</t>
  </si>
  <si>
    <t>ORD10443</t>
  </si>
  <si>
    <t>ORD10418</t>
  </si>
  <si>
    <t>ORD10302</t>
  </si>
  <si>
    <t>ORD10494</t>
  </si>
  <si>
    <t>ORD10112</t>
  </si>
  <si>
    <t>ORD10253</t>
  </si>
  <si>
    <t>ORD10174</t>
  </si>
  <si>
    <t>ORD10095</t>
  </si>
  <si>
    <t>ORD10492</t>
  </si>
  <si>
    <t>ORD10106</t>
  </si>
  <si>
    <t>ORD10444</t>
  </si>
  <si>
    <t>ORD10122</t>
  </si>
  <si>
    <t>ORD10292</t>
  </si>
  <si>
    <t>ORD10187</t>
  </si>
  <si>
    <t>ORD10008</t>
  </si>
  <si>
    <t>ORD10129</t>
  </si>
  <si>
    <t>ORD10362</t>
  </si>
  <si>
    <t>ORD10405</t>
  </si>
  <si>
    <t>ORD10176</t>
  </si>
  <si>
    <t>ORD10066</t>
  </si>
  <si>
    <t>ORD10060</t>
  </si>
  <si>
    <t>ORD10280</t>
  </si>
  <si>
    <t>ORD10478</t>
  </si>
  <si>
    <t>ORD10380</t>
  </si>
  <si>
    <t>ORD10153</t>
  </si>
  <si>
    <t>ORD10017</t>
  </si>
  <si>
    <t>ORD10490</t>
  </si>
  <si>
    <t>ORD10030</t>
  </si>
  <si>
    <t>ORD10180</t>
  </si>
  <si>
    <t>ORD10233</t>
  </si>
  <si>
    <t>ORD10451</t>
  </si>
  <si>
    <t>ORD10430</t>
  </si>
  <si>
    <t>Credit card</t>
  </si>
  <si>
    <t>ORD10469</t>
  </si>
  <si>
    <t>ORD10487</t>
  </si>
  <si>
    <t>ORD10121</t>
  </si>
  <si>
    <t>ORD10387</t>
  </si>
  <si>
    <t>ORD10389</t>
  </si>
  <si>
    <t>ORD10231</t>
  </si>
  <si>
    <t>ORD10049</t>
  </si>
  <si>
    <t>ORD10143</t>
  </si>
  <si>
    <t>ORD10230</t>
  </si>
  <si>
    <t>ORD10428</t>
  </si>
  <si>
    <t>ORD10372</t>
  </si>
  <si>
    <t>ORD10288</t>
  </si>
  <si>
    <t>ORD10493</t>
  </si>
  <si>
    <t>ORD10376</t>
  </si>
  <si>
    <t>ORD10500</t>
  </si>
  <si>
    <t>ORD10325</t>
  </si>
  <si>
    <t>ORD10057</t>
  </si>
  <si>
    <t>ORD10276</t>
  </si>
  <si>
    <t>ORD10374</t>
  </si>
  <si>
    <t>ORD10115</t>
  </si>
  <si>
    <t>ORD10222</t>
  </si>
  <si>
    <t>ORD10012</t>
  </si>
  <si>
    <t>ORD10311</t>
  </si>
  <si>
    <t>ORD10371</t>
  </si>
  <si>
    <t>ORD10282</t>
  </si>
  <si>
    <t>ORD10119</t>
  </si>
  <si>
    <t>ORD10181</t>
  </si>
  <si>
    <t>ORD10150</t>
  </si>
  <si>
    <t>ORD10144</t>
  </si>
  <si>
    <t>ORD10202</t>
  </si>
  <si>
    <t>ORD10209</t>
  </si>
  <si>
    <t>ORD10466</t>
  </si>
  <si>
    <t>ORD10226</t>
  </si>
  <si>
    <t>ORD10379</t>
  </si>
  <si>
    <t>ORD10139</t>
  </si>
  <si>
    <t>ORD10126</t>
  </si>
  <si>
    <t>ORD10072</t>
  </si>
  <si>
    <t>ORD10483</t>
  </si>
  <si>
    <t>ORD10445</t>
  </si>
  <si>
    <t>ORD10477</t>
  </si>
  <si>
    <t>ORD10396</t>
  </si>
  <si>
    <t>ORD10497</t>
  </si>
  <si>
    <t>ORD10392</t>
  </si>
  <si>
    <t>ORD10437</t>
  </si>
  <si>
    <t>ORD10217</t>
  </si>
  <si>
    <t>ORD10287</t>
  </si>
  <si>
    <t>ORD10482</t>
  </si>
  <si>
    <t>ORD10255</t>
  </si>
  <si>
    <t>ORD10346</t>
  </si>
  <si>
    <t>ORD10200</t>
  </si>
  <si>
    <t>ORD10300</t>
  </si>
  <si>
    <t>ORD10306</t>
  </si>
  <si>
    <t>ORD10274</t>
  </si>
  <si>
    <t>ORD10367</t>
  </si>
  <si>
    <t>ORD10375</t>
  </si>
  <si>
    <t>ORD10155</t>
  </si>
  <si>
    <t>ORD10471</t>
  </si>
  <si>
    <t>ORD10286</t>
  </si>
  <si>
    <t>ORD10194</t>
  </si>
  <si>
    <t>ORD10350</t>
  </si>
  <si>
    <t>ORD10102</t>
  </si>
  <si>
    <t>ORD10496</t>
  </si>
  <si>
    <t>ORD10435</t>
  </si>
  <si>
    <t>ORD10016</t>
  </si>
  <si>
    <t>ORD10323</t>
  </si>
  <si>
    <t>ORD10484</t>
  </si>
  <si>
    <t>ORD10480</t>
  </si>
  <si>
    <t>ORD10191</t>
  </si>
  <si>
    <t>ORD10071</t>
  </si>
  <si>
    <t>ORD10412</t>
  </si>
  <si>
    <t>ORD10045</t>
  </si>
  <si>
    <t>ORD10108</t>
  </si>
  <si>
    <t>ORD10254</t>
  </si>
  <si>
    <t>ORD10011</t>
  </si>
  <si>
    <t>ORD10091</t>
  </si>
  <si>
    <t>ORD10185</t>
  </si>
  <si>
    <t>ORD10179</t>
  </si>
  <si>
    <t>ORD10035</t>
  </si>
  <si>
    <t>ORD10198</t>
  </si>
  <si>
    <t>ORD10308</t>
  </si>
  <si>
    <t>ORD10364</t>
  </si>
  <si>
    <t>ORD10411</t>
  </si>
  <si>
    <t>ORD10246</t>
  </si>
  <si>
    <t>ORD10425</t>
  </si>
  <si>
    <t>ORD10381</t>
  </si>
  <si>
    <t>ORD10197</t>
  </si>
  <si>
    <t>ORD10026</t>
  </si>
  <si>
    <t>ORD10454</t>
  </si>
  <si>
    <t>ORD10351</t>
  </si>
  <si>
    <t>ORD10269</t>
  </si>
  <si>
    <t>ORD10063</t>
  </si>
  <si>
    <t>ORD10324</t>
  </si>
  <si>
    <t>ORD10319</t>
  </si>
  <si>
    <t>ORD10004</t>
  </si>
  <si>
    <t>ORD10366</t>
  </si>
  <si>
    <t>ORD10097</t>
  </si>
  <si>
    <t>ORD10028</t>
  </si>
  <si>
    <t>ORD10131</t>
  </si>
  <si>
    <t>ORD10422</t>
  </si>
  <si>
    <t>ORD10424</t>
  </si>
  <si>
    <t>ORD10427</t>
  </si>
  <si>
    <t>ORD10486</t>
  </si>
  <si>
    <t>ORD10124</t>
  </si>
  <si>
    <t>ORD10036</t>
  </si>
  <si>
    <t>ORD10235</t>
  </si>
  <si>
    <t>ORD10086</t>
  </si>
  <si>
    <t>ORD10163</t>
  </si>
  <si>
    <t>ORD10349</t>
  </si>
  <si>
    <t>ORD10279</t>
  </si>
  <si>
    <t>ORD10426</t>
  </si>
  <si>
    <t>ORD10031</t>
  </si>
  <si>
    <t>ORD10294</t>
  </si>
  <si>
    <t>ORD10416</t>
  </si>
  <si>
    <t>ORD10018</t>
  </si>
  <si>
    <t>ORD10041</t>
  </si>
  <si>
    <t>ORD10164</t>
  </si>
  <si>
    <t>ORD10142</t>
  </si>
  <si>
    <t>ORD10107</t>
  </si>
  <si>
    <t>ORD10088</t>
  </si>
  <si>
    <t>ORD10439</t>
  </si>
  <si>
    <t>ORD10241</t>
  </si>
  <si>
    <t>ORD10383</t>
  </si>
  <si>
    <t>ORD10140</t>
  </si>
  <si>
    <t>ORD10090</t>
  </si>
  <si>
    <t>ORD10193</t>
  </si>
  <si>
    <t>ORD10298</t>
  </si>
  <si>
    <t>ORD10297</t>
  </si>
  <si>
    <t>ORD10449</t>
  </si>
  <si>
    <t>ORD10079</t>
  </si>
  <si>
    <t>ORD10291</t>
  </si>
  <si>
    <t>ORD10105</t>
  </si>
  <si>
    <t>ORD10400</t>
  </si>
  <si>
    <t>ORD10146</t>
  </si>
  <si>
    <t>ORD10100</t>
  </si>
  <si>
    <t>ORD10370</t>
  </si>
  <si>
    <t>ORD10475</t>
  </si>
  <si>
    <t>ORD10307</t>
  </si>
  <si>
    <t>ORD10295</t>
  </si>
  <si>
    <t>ORD10436</t>
  </si>
  <si>
    <t>ORD10188</t>
  </si>
  <si>
    <t>ORD10199</t>
  </si>
  <si>
    <t>ORD10356</t>
  </si>
  <si>
    <t>ORD10058</t>
  </si>
  <si>
    <t>ORD10460</t>
  </si>
  <si>
    <t>ORD10498</t>
  </si>
  <si>
    <t>ORD10499</t>
  </si>
  <si>
    <t>ORD10073</t>
  </si>
  <si>
    <t>ORD10068</t>
  </si>
  <si>
    <t>ORD10141</t>
  </si>
  <si>
    <t>ORD10110</t>
  </si>
  <si>
    <t>ORD10002</t>
  </si>
  <si>
    <t>ORD10005</t>
  </si>
  <si>
    <t>ORD10043</t>
  </si>
  <si>
    <t>ORD10258</t>
  </si>
  <si>
    <t>ORD10087</t>
  </si>
  <si>
    <t>ORD10313</t>
  </si>
  <si>
    <t>ORD10467</t>
  </si>
  <si>
    <t>ORD10369</t>
  </si>
  <si>
    <t>ORD10330</t>
  </si>
  <si>
    <t>ORD10130</t>
  </si>
  <si>
    <t>ORD10345</t>
  </si>
  <si>
    <t>ORD10177</t>
  </si>
  <si>
    <t>ORD10472</t>
  </si>
  <si>
    <t>ORD10051</t>
  </si>
  <si>
    <t>ORD10314</t>
  </si>
  <si>
    <t>ORD10338</t>
  </si>
  <si>
    <t>ORD10064</t>
  </si>
  <si>
    <t>ORD10468</t>
  </si>
  <si>
    <t>ORD10228</t>
  </si>
  <si>
    <t>ORD10170</t>
  </si>
  <si>
    <t>ORD10260</t>
  </si>
  <si>
    <t>ORD10218</t>
  </si>
  <si>
    <t>ORD10111</t>
  </si>
  <si>
    <t>ORD10321</t>
  </si>
  <si>
    <t>ORD10216</t>
  </si>
  <si>
    <t>ORD10284</t>
  </si>
  <si>
    <t>ORD10463</t>
  </si>
  <si>
    <t>ORD10154</t>
  </si>
  <si>
    <t>ORD10128</t>
  </si>
  <si>
    <t>ORD10332</t>
  </si>
  <si>
    <t>ORD10385</t>
  </si>
  <si>
    <t>S</t>
  </si>
  <si>
    <t>Clean Customer Name</t>
  </si>
  <si>
    <t>Clean Payment mode</t>
  </si>
  <si>
    <t>Total Sales</t>
  </si>
  <si>
    <t>Total Profit</t>
  </si>
  <si>
    <t>Total Orders</t>
  </si>
  <si>
    <t>Units Sold</t>
  </si>
  <si>
    <t>Average Order Value</t>
  </si>
  <si>
    <t>Profit Margin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</si>
  <si>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</si>
  <si>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</si>
  <si>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</si>
  <si>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</si>
  <si>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</si>
  <si>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</si>
  <si>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</si>
  <si>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</si>
  <si>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</si>
  <si>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</si>
  <si>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</si>
  <si>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</si>
  <si>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</si>
  <si>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</si>
  <si>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</si>
  <si>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2025</t>
  </si>
  <si>
    <t>Sum of Profit</t>
  </si>
  <si>
    <t>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</si>
</sst>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2" xfId="0" applyFont="1" applyFill="1" applyBorder="1"/>
    <xf numFmtId="0" fontId="0" fillId="0" borderId="0" xfId="0" applyAlignment="1">
      <alignment horizontal="left" indent="1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3" fillId="2" borderId="0" xfId="0" applyNumberFormat="1" applyFont="1" applyFill="1" applyBorder="1"/>
    <xf numFmtId="0" fontId="0" fillId="0" borderId="3" xfId="0" applyNumberFormat="1" applyBorder="1"/>
    <xf numFmtId="2" fontId="3" fillId="2" borderId="0" xfId="0" applyNumberFormat="1" applyFont="1" applyFill="1" applyBorder="1"/>
    <xf numFmtId="2" fontId="0" fillId="0" borderId="3" xfId="0" applyNumberFormat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2" fontId="0" fillId="0" borderId="0" xfId="0" applyNumberFormat="1" applyBorder="1"/>
    <xf numFmtId="0" fontId="4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" formatCode="0"/>
    </dxf>
    <dxf>
      <numFmt numFmtId="19" formatCode="dd/mm/yyyy"/>
    </dxf>
    <dxf>
      <numFmt numFmtId="30" formatCode="@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[retail_sales_dataset.xlsx]City Analysis!PivotTable3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 Analysis'!$A$4:$A$16</c:f>
              <c:strCache>
                <c:ptCount val="12"/>
                <c:pt idx="0">
                  <c:v>Ahmedabad</c:v>
                </c:pt>
                <c:pt idx="1">
                  <c:v>Aurangabad</c:v>
                </c:pt>
                <c:pt idx="2">
                  <c:v>Bengaluru</c:v>
                </c:pt>
                <c:pt idx="3">
                  <c:v>Delhi</c:v>
                </c:pt>
                <c:pt idx="4">
                  <c:v>Hyderabad</c:v>
                </c:pt>
                <c:pt idx="5">
                  <c:v>Indore</c:v>
                </c:pt>
                <c:pt idx="6">
                  <c:v>Latur</c:v>
                </c:pt>
                <c:pt idx="7">
                  <c:v>Mumbai</c:v>
                </c:pt>
                <c:pt idx="8">
                  <c:v>Nagpur</c:v>
                </c:pt>
                <c:pt idx="9">
                  <c:v>Nashik</c:v>
                </c:pt>
                <c:pt idx="10">
                  <c:v>Pune</c:v>
                </c:pt>
                <c:pt idx="11">
                  <c:v>Pune </c:v>
                </c:pt>
              </c:strCache>
            </c:strRef>
          </c:cat>
          <c:val>
            <c:numRef>
              <c:f>'City Analysis'!$B$4:$B$16</c:f>
              <c:numCache>
                <c:formatCode>0.00</c:formatCode>
                <c:ptCount val="12"/>
                <c:pt idx="0">
                  <c:v>583884.16</c:v>
                </c:pt>
                <c:pt idx="1">
                  <c:v>743714.75</c:v>
                </c:pt>
                <c:pt idx="2">
                  <c:v>397479.17999999993</c:v>
                </c:pt>
                <c:pt idx="3">
                  <c:v>534001.77999999991</c:v>
                </c:pt>
                <c:pt idx="4">
                  <c:v>635407.87000000011</c:v>
                </c:pt>
                <c:pt idx="5">
                  <c:v>475306.7099999999</c:v>
                </c:pt>
                <c:pt idx="6">
                  <c:v>430941.36</c:v>
                </c:pt>
                <c:pt idx="7">
                  <c:v>593726.2699999999</c:v>
                </c:pt>
                <c:pt idx="8">
                  <c:v>547110.60999999987</c:v>
                </c:pt>
                <c:pt idx="9">
                  <c:v>575683.89</c:v>
                </c:pt>
                <c:pt idx="10">
                  <c:v>632539.96</c:v>
                </c:pt>
                <c:pt idx="11">
                  <c:v>918.92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C-4D65-B9DC-FAD4E00FFBF3}"/>
            </c:ext>
          </c:extLst>
        </c:ser>
        <c:ser>
          <c:idx val="1"/>
          <c:order val="1"/>
          <c:tx>
            <c:strRef>
              <c:f>'City Analysis'!$C$3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'City Analysis'!$A$4:$A$16</c:f>
              <c:strCache>
                <c:ptCount val="12"/>
                <c:pt idx="0">
                  <c:v>Ahmedabad</c:v>
                </c:pt>
                <c:pt idx="1">
                  <c:v>Aurangabad</c:v>
                </c:pt>
                <c:pt idx="2">
                  <c:v>Bengaluru</c:v>
                </c:pt>
                <c:pt idx="3">
                  <c:v>Delhi</c:v>
                </c:pt>
                <c:pt idx="4">
                  <c:v>Hyderabad</c:v>
                </c:pt>
                <c:pt idx="5">
                  <c:v>Indore</c:v>
                </c:pt>
                <c:pt idx="6">
                  <c:v>Latur</c:v>
                </c:pt>
                <c:pt idx="7">
                  <c:v>Mumbai</c:v>
                </c:pt>
                <c:pt idx="8">
                  <c:v>Nagpur</c:v>
                </c:pt>
                <c:pt idx="9">
                  <c:v>Nashik</c:v>
                </c:pt>
                <c:pt idx="10">
                  <c:v>Pune</c:v>
                </c:pt>
                <c:pt idx="11">
                  <c:v>Pune </c:v>
                </c:pt>
              </c:strCache>
            </c:strRef>
          </c:cat>
          <c:val>
            <c:numRef>
              <c:f>'City Analysis'!$C$4:$C$16</c:f>
              <c:numCache>
                <c:formatCode>General</c:formatCode>
                <c:ptCount val="12"/>
                <c:pt idx="0">
                  <c:v>1863284.7900000005</c:v>
                </c:pt>
                <c:pt idx="1">
                  <c:v>1981591.2899999996</c:v>
                </c:pt>
                <c:pt idx="2">
                  <c:v>1024502.5300000001</c:v>
                </c:pt>
                <c:pt idx="3">
                  <c:v>1430800.25</c:v>
                </c:pt>
                <c:pt idx="4">
                  <c:v>1780649.5599999998</c:v>
                </c:pt>
                <c:pt idx="5">
                  <c:v>1375406.5499999993</c:v>
                </c:pt>
                <c:pt idx="6">
                  <c:v>1267670.3900000001</c:v>
                </c:pt>
                <c:pt idx="7">
                  <c:v>1769670.61</c:v>
                </c:pt>
                <c:pt idx="8">
                  <c:v>1574293.7900000003</c:v>
                </c:pt>
                <c:pt idx="9">
                  <c:v>1801343.9899999998</c:v>
                </c:pt>
                <c:pt idx="10">
                  <c:v>1588955.3099999998</c:v>
                </c:pt>
                <c:pt idx="11">
                  <c:v>1644.13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C-4D65-B9DC-FAD4E00FF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9034464"/>
        <c:axId val="1815043792"/>
      </c:barChart>
      <c:catAx>
        <c:axId val="187903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43792"/>
        <c:crosses val="autoZero"/>
        <c:auto val="1"/>
        <c:lblAlgn val="ctr"/>
        <c:lblOffset val="100"/>
        <c:noMultiLvlLbl val="0"/>
      </c:catAx>
      <c:valAx>
        <c:axId val="181504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03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[retail_sales_dataset.xlsx]Product Analysis!PivotTable2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Analysis'!$A$4:$A$16</c:f>
              <c:strCache>
                <c:ptCount val="12"/>
                <c:pt idx="0">
                  <c:v>Backpack</c:v>
                </c:pt>
                <c:pt idx="1">
                  <c:v>Bookshelf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  <c:pt idx="9">
                  <c:v>Smartphone</c:v>
                </c:pt>
                <c:pt idx="10">
                  <c:v>Study Table</c:v>
                </c:pt>
                <c:pt idx="11">
                  <c:v>Tablet</c:v>
                </c:pt>
              </c:strCache>
            </c:strRef>
          </c:cat>
          <c:val>
            <c:numRef>
              <c:f>'Product Analysis'!$B$4:$B$16</c:f>
              <c:numCache>
                <c:formatCode>0.00</c:formatCode>
                <c:ptCount val="12"/>
                <c:pt idx="0">
                  <c:v>154384.40999999997</c:v>
                </c:pt>
                <c:pt idx="1">
                  <c:v>426326.24999999994</c:v>
                </c:pt>
                <c:pt idx="2">
                  <c:v>310466.58999999997</c:v>
                </c:pt>
                <c:pt idx="3">
                  <c:v>165842.06000000003</c:v>
                </c:pt>
                <c:pt idx="4">
                  <c:v>1042288.1000000001</c:v>
                </c:pt>
                <c:pt idx="5">
                  <c:v>1290603.3800000004</c:v>
                </c:pt>
                <c:pt idx="6">
                  <c:v>112078.96999999997</c:v>
                </c:pt>
                <c:pt idx="7">
                  <c:v>505872.56000000006</c:v>
                </c:pt>
                <c:pt idx="8">
                  <c:v>390480.38000000006</c:v>
                </c:pt>
                <c:pt idx="9">
                  <c:v>784042.37</c:v>
                </c:pt>
                <c:pt idx="10">
                  <c:v>401516.36999999988</c:v>
                </c:pt>
                <c:pt idx="11">
                  <c:v>566814.02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F-41C4-864F-3FFA1D2ADBFD}"/>
            </c:ext>
          </c:extLst>
        </c:ser>
        <c:ser>
          <c:idx val="1"/>
          <c:order val="1"/>
          <c:tx>
            <c:strRef>
              <c:f>'Product Analysis'!$C$3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Analysis'!$A$4:$A$16</c:f>
              <c:strCache>
                <c:ptCount val="12"/>
                <c:pt idx="0">
                  <c:v>Backpack</c:v>
                </c:pt>
                <c:pt idx="1">
                  <c:v>Bookshelf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Monitor</c:v>
                </c:pt>
                <c:pt idx="6">
                  <c:v>Mouse</c:v>
                </c:pt>
                <c:pt idx="7">
                  <c:v>Office Chair</c:v>
                </c:pt>
                <c:pt idx="8">
                  <c:v>Printer</c:v>
                </c:pt>
                <c:pt idx="9">
                  <c:v>Smartphone</c:v>
                </c:pt>
                <c:pt idx="10">
                  <c:v>Study Table</c:v>
                </c:pt>
                <c:pt idx="11">
                  <c:v>Tablet</c:v>
                </c:pt>
              </c:strCache>
            </c:strRef>
          </c:cat>
          <c:val>
            <c:numRef>
              <c:f>'Product Analysis'!$C$4:$C$16</c:f>
              <c:numCache>
                <c:formatCode>General</c:formatCode>
                <c:ptCount val="12"/>
                <c:pt idx="0">
                  <c:v>263234.93999999994</c:v>
                </c:pt>
                <c:pt idx="1">
                  <c:v>751983.14</c:v>
                </c:pt>
                <c:pt idx="2">
                  <c:v>481736.49999999983</c:v>
                </c:pt>
                <c:pt idx="3">
                  <c:v>254680.34000000005</c:v>
                </c:pt>
                <c:pt idx="4">
                  <c:v>6722755.8299999991</c:v>
                </c:pt>
                <c:pt idx="5">
                  <c:v>2413246.1900000004</c:v>
                </c:pt>
                <c:pt idx="6">
                  <c:v>162087.09999999998</c:v>
                </c:pt>
                <c:pt idx="7">
                  <c:v>1067153.54</c:v>
                </c:pt>
                <c:pt idx="8">
                  <c:v>915758.97000000032</c:v>
                </c:pt>
                <c:pt idx="9">
                  <c:v>2265228.5799999996</c:v>
                </c:pt>
                <c:pt idx="10">
                  <c:v>781779.29999999993</c:v>
                </c:pt>
                <c:pt idx="11">
                  <c:v>1380168.7600000002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F-41C4-864F-3FFA1D2AD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432784"/>
        <c:axId val="1815041872"/>
      </c:barChart>
      <c:catAx>
        <c:axId val="140643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41872"/>
        <c:crosses val="autoZero"/>
        <c:auto val="1"/>
        <c:lblAlgn val="ctr"/>
        <c:lblOffset val="100"/>
        <c:noMultiLvlLbl val="0"/>
      </c:catAx>
      <c:valAx>
        <c:axId val="18150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3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[retail_sales_dataset.xlsx]Monthly Sales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Analysis'!$A$4:$A$17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Sales Analysis'!$B$4:$B$17</c:f>
              <c:numCache>
                <c:formatCode>General</c:formatCode>
                <c:ptCount val="12"/>
                <c:pt idx="0">
                  <c:v>1675861.4300000004</c:v>
                </c:pt>
                <c:pt idx="1">
                  <c:v>974039.48999999987</c:v>
                </c:pt>
                <c:pt idx="2">
                  <c:v>1539941.5599999996</c:v>
                </c:pt>
                <c:pt idx="3">
                  <c:v>2052366.78</c:v>
                </c:pt>
                <c:pt idx="4">
                  <c:v>2184862.5000000005</c:v>
                </c:pt>
                <c:pt idx="5">
                  <c:v>1282670.21</c:v>
                </c:pt>
                <c:pt idx="6">
                  <c:v>1043490.5200000001</c:v>
                </c:pt>
                <c:pt idx="7">
                  <c:v>1285625.9099999999</c:v>
                </c:pt>
                <c:pt idx="8">
                  <c:v>1492241.9900000002</c:v>
                </c:pt>
                <c:pt idx="9">
                  <c:v>1425739.4799999997</c:v>
                </c:pt>
                <c:pt idx="10">
                  <c:v>1007807.9900000001</c:v>
                </c:pt>
                <c:pt idx="11">
                  <c:v>1495165.33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F-44D0-8255-79EC2F2C7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205728"/>
        <c:axId val="1815037552"/>
      </c:lineChart>
      <c:catAx>
        <c:axId val="18652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37552"/>
        <c:crosses val="autoZero"/>
        <c:auto val="1"/>
        <c:lblAlgn val="ctr"/>
        <c:lblOffset val="100"/>
        <c:noMultiLvlLbl val="0"/>
      </c:catAx>
      <c:valAx>
        <c:axId val="18150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2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9</xdr:row>
      <xdr:rowOff>107950</xdr:rowOff>
    </xdr:from>
    <xdr:to>
      <xdr:col>1</xdr:col>
      <xdr:colOff>749300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CB555-804B-7A6F-F0E0-11BCB49AD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908050</xdr:colOff>
      <xdr:row>9</xdr:row>
      <xdr:rowOff>101600</xdr:rowOff>
    </xdr:from>
    <xdr:to>
      <xdr:col>9</xdr:col>
      <xdr:colOff>215900</xdr:colOff>
      <xdr:row>24</xdr:row>
      <xdr:rowOff>82550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36F7746-8831-786A-F518-23CBB1186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25</xdr:row>
      <xdr:rowOff>0</xdr:rowOff>
    </xdr:from>
    <xdr:to>
      <xdr:col>1</xdr:col>
      <xdr:colOff>736600</xdr:colOff>
      <xdr:row>39</xdr:row>
      <xdr:rowOff>165100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ACF44E0-8A57-3644-402E-E26366C36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sh" refreshedDate="46304.576618865744" createdVersion="8" refreshedVersion="8" minRefreshableVersion="3" recordCount="500" xr:uid="{7A307EE5-BFE5-4A01-93D4-876F3DD9B507}">
  <cacheSource type="worksheet">
    <worksheetSource name="SalesData"/>
  </cacheSource>
  <cacheFields count="18">
    <cacheField name="Order ID" numFmtId="49">
      <sharedItems/>
    </cacheField>
    <cacheField name="Order Date" numFmtId="14">
      <sharedItems containsSemiMixedTypes="0" containsNonDate="0" containsDate="1" containsString="0" minDate="2025-01-01T00:00:00" maxDate="2026-01-01T00:00:00" count="262">
        <d v="2025-01-01T00:00:00"/>
        <d v="2025-01-02T00:00:00"/>
        <d v="2025-01-03T00:00:00"/>
        <d v="2025-01-05T00:00:00"/>
        <d v="2025-01-06T00:00:00"/>
        <d v="2025-01-07T00:00:00"/>
        <d v="2025-01-08T00:00:00"/>
        <d v="2025-01-10T00:00:00"/>
        <d v="2025-01-11T00:00:00"/>
        <d v="2025-01-13T00:00:00"/>
        <d v="2025-01-14T00:00:00"/>
        <d v="2025-01-15T00:00:00"/>
        <d v="2025-01-17T00:00:00"/>
        <d v="2025-01-19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6T00:00:00"/>
        <d v="2025-02-17T00:00:00"/>
        <d v="2025-02-18T00:00:00"/>
        <d v="2025-02-19T00:00:00"/>
        <d v="2025-02-22T00:00:00"/>
        <d v="2025-02-23T00:00:00"/>
        <d v="2025-02-25T00:00:00"/>
        <d v="2025-02-27T00:00:00"/>
        <d v="2025-02-28T00:00:00"/>
        <d v="2025-03-03T00:00:00"/>
        <d v="2025-03-04T00:00:00"/>
        <d v="2025-03-07T00:00:00"/>
        <d v="2025-03-08T00:00:00"/>
        <d v="2025-03-09T00:00:00"/>
        <d v="2025-03-10T00:00:00"/>
        <d v="2025-03-11T00:00:00"/>
        <d v="2025-03-14T00:00:00"/>
        <d v="2025-03-16T00:00:00"/>
        <d v="2025-03-17T00:00:00"/>
        <d v="2025-03-18T00:00:00"/>
        <d v="2025-03-20T00:00:00"/>
        <d v="2025-03-21T00:00:00"/>
        <d v="2025-03-22T00:00:00"/>
        <d v="2025-03-24T00:00:00"/>
        <d v="2025-03-25T00:00:00"/>
        <d v="2025-03-29T00:00:00"/>
        <d v="2025-03-30T00:00:00"/>
        <d v="2025-03-31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6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13T00:00:00"/>
        <d v="2025-05-14T00:00:00"/>
        <d v="2025-05-15T00:00:00"/>
        <d v="2025-05-16T00:00:00"/>
        <d v="2025-05-18T00:00:00"/>
        <d v="2025-05-19T00:00:00"/>
        <d v="2025-05-21T00:00:00"/>
        <d v="2025-05-23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5T00:00:00"/>
        <d v="2025-06-16T00:00:00"/>
        <d v="2025-06-17T00:00:00"/>
        <d v="2025-06-18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2T00:00:00"/>
        <d v="2025-07-03T00:00:00"/>
        <d v="2025-07-06T00:00:00"/>
        <d v="2025-07-07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9T00:00:00"/>
        <d v="2025-07-20T00:00:00"/>
        <d v="2025-07-21T00:00:00"/>
        <d v="2025-07-25T00:00:00"/>
        <d v="2025-07-26T00:00:00"/>
        <d v="2025-07-27T00:00:00"/>
        <d v="2025-07-28T00:00:00"/>
        <d v="2025-07-29T00:00:00"/>
        <d v="2025-07-30T00:00:00"/>
        <d v="2025-08-01T00:00:00"/>
        <d v="2025-08-02T00:00:00"/>
        <d v="2025-08-03T00:00:00"/>
        <d v="2025-08-05T00:00:00"/>
        <d v="2025-08-06T00:00:00"/>
        <d v="2025-08-07T00:00:00"/>
        <d v="2025-08-08T00:00:00"/>
        <d v="2025-08-09T00:00:00"/>
        <d v="2025-08-12T00:00:00"/>
        <d v="2025-08-13T00:00:00"/>
        <d v="2025-08-15T00:00:00"/>
        <d v="2025-08-18T00:00:00"/>
        <d v="2025-08-19T00:00:00"/>
        <d v="2025-08-20T00:00:00"/>
        <d v="2025-08-22T00:00:00"/>
        <d v="2025-08-24T00:00:00"/>
        <d v="2025-08-25T00:00:00"/>
        <d v="2025-08-27T00:00:00"/>
        <d v="2025-08-29T00:00:00"/>
        <d v="2025-08-30T00:00:00"/>
        <d v="2025-08-31T00:00:00"/>
        <d v="2025-09-03T00:00:00"/>
        <d v="2025-09-04T00:00:00"/>
        <d v="2025-09-05T00:00:00"/>
        <d v="2025-09-07T00:00:00"/>
        <d v="2025-09-10T00:00:00"/>
        <d v="2025-09-11T00:00:00"/>
        <d v="2025-09-12T00:00:00"/>
        <d v="2025-09-13T00:00:00"/>
        <d v="2025-09-14T00:00:00"/>
        <d v="2025-09-15T00:00:00"/>
        <d v="2025-09-17T00:00:00"/>
        <d v="2025-09-18T00:00:00"/>
        <d v="2025-09-19T00:00:00"/>
        <d v="2025-09-20T00:00:00"/>
        <d v="2025-09-21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0T00:00:00"/>
        <d v="2025-10-12T00:00:00"/>
        <d v="2025-10-13T00:00:00"/>
        <d v="2025-10-14T00:00:00"/>
        <d v="2025-10-15T00:00:00"/>
        <d v="2025-10-16T00:00:00"/>
        <d v="2025-10-18T00:00:00"/>
        <d v="2025-10-20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20T00:00:00"/>
        <d v="2025-11-21T00:00:00"/>
        <d v="2025-11-22T00:00:00"/>
        <d v="2025-11-24T00:00:00"/>
        <d v="2025-11-25T00:00:00"/>
        <d v="2025-11-26T00:00:00"/>
        <d v="2025-11-28T00:00:00"/>
        <d v="2025-11-29T00:00:00"/>
        <d v="2025-11-30T00:00:00"/>
        <d v="2025-12-02T00:00:00"/>
        <d v="2025-12-03T00:00:00"/>
        <d v="2025-12-05T00:00:00"/>
        <d v="2025-12-06T00:00:00"/>
        <d v="2025-12-07T00:00:00"/>
        <d v="2025-12-10T00:00:00"/>
        <d v="2025-12-12T00:00:00"/>
        <d v="2025-12-15T00:00:00"/>
        <d v="2025-12-16T00:00:00"/>
        <d v="2025-12-17T00:00:00"/>
        <d v="2025-12-18T00:00:00"/>
        <d v="2025-12-20T00:00:00"/>
        <d v="2025-12-21T00:00:00"/>
        <d v="2025-12-23T00:00:00"/>
        <d v="2025-12-24T00:00:00"/>
        <d v="2025-12-25T00:00:00"/>
        <d v="2025-12-27T00:00:00"/>
        <d v="2025-12-29T00:00:00"/>
        <d v="2025-12-30T00:00:00"/>
        <d v="2025-12-31T00:00:00"/>
      </sharedItems>
      <fieldGroup par="17"/>
    </cacheField>
    <cacheField name="Customer Name" numFmtId="0">
      <sharedItems/>
    </cacheField>
    <cacheField name="Clean Customer Name" numFmtId="0">
      <sharedItems/>
    </cacheField>
    <cacheField name="City" numFmtId="0">
      <sharedItems count="12">
        <s v="Delhi"/>
        <s v="Pune"/>
        <s v="Mumbai"/>
        <s v="Nagpur"/>
        <s v="Latur"/>
        <s v="Aurangabad"/>
        <s v="Hyderabad"/>
        <s v="Ahmedabad"/>
        <s v="Nashik"/>
        <s v="Indore"/>
        <s v="Bengaluru"/>
        <s v="Pune "/>
      </sharedItems>
    </cacheField>
    <cacheField name="State" numFmtId="0">
      <sharedItems/>
    </cacheField>
    <cacheField name="Product" numFmtId="0">
      <sharedItems count="12">
        <s v="Printer"/>
        <s v="Office Chair"/>
        <s v="Laptop"/>
        <s v="Mouse"/>
        <s v="Backpack"/>
        <s v="Bookshelf"/>
        <s v="Headphones"/>
        <s v="Smartphone"/>
        <s v="Tablet"/>
        <s v="Study Table"/>
        <s v="Monitor"/>
        <s v="Keyboard"/>
      </sharedItems>
    </cacheField>
    <cacheField name="Category" numFmtId="0">
      <sharedItems/>
    </cacheField>
    <cacheField name="Quantity" numFmtId="1">
      <sharedItems containsSemiMixedTypes="0" containsString="0" containsNumber="1" containsInteger="1" minValue="1" maxValue="5"/>
    </cacheField>
    <cacheField name="Discount" numFmtId="10">
      <sharedItems containsSemiMixedTypes="0" containsString="0" containsNumber="1" minValue="0" maxValue="0.15"/>
    </cacheField>
    <cacheField name="Unit Price" numFmtId="2">
      <sharedItems containsMixedTypes="1" containsNumber="1" minValue="1141.08" maxValue="54576.28"/>
    </cacheField>
    <cacheField name="Sales" numFmtId="0">
      <sharedItems containsSemiMixedTypes="0" containsString="0" containsNumber="1" minValue="1107.4000000000001" maxValue="259474.3"/>
    </cacheField>
    <cacheField name="Cost" numFmtId="2">
      <sharedItems containsSemiMixedTypes="0" containsString="0" containsNumber="1" minValue="336.43" maxValue="211695.9"/>
    </cacheField>
    <cacheField name="Profit" numFmtId="2">
      <sharedItems containsSemiMixedTypes="0" containsString="0" containsNumber="1" minValue="767.36" maxValue="53267.65"/>
    </cacheField>
    <cacheField name="Payment Mode" numFmtId="0">
      <sharedItems/>
    </cacheField>
    <cacheField name="Clean Payment mode" numFmtId="0">
      <sharedItems/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Years (Order Date)" numFmtId="0" databaseField="0">
      <fieldGroup base="1">
        <rangePr groupBy="years" startDate="2025-01-01T00:00:00" endDate="2026-01-01T00:00:00"/>
        <groupItems count="4">
          <s v="&lt;01-01-2025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10183"/>
    <x v="0"/>
    <s v="Isha Bhosale"/>
    <s v="Isha Bhosale"/>
    <x v="0"/>
    <s v="Delhi"/>
    <x v="0"/>
    <s v="Electronics"/>
    <n v="4"/>
    <n v="0.1"/>
    <n v="11917.07"/>
    <n v="42901.45"/>
    <n v="25346.639999999999"/>
    <n v="17554.810000000001"/>
    <s v="Cash"/>
    <s v="CASH"/>
  </r>
  <r>
    <s v="ORD10118"/>
    <x v="1"/>
    <s v="Aarav Sharma"/>
    <s v="Aarav Sharma"/>
    <x v="1"/>
    <s v="Maharashtra"/>
    <x v="1"/>
    <s v="Furniture"/>
    <n v="5"/>
    <n v="0"/>
    <n v="8713.2900000000009"/>
    <n v="43566.45"/>
    <n v="22686.85"/>
    <n v="20879.599999999999"/>
    <s v="Net Banking"/>
    <s v="NET BANKING"/>
  </r>
  <r>
    <s v="ORD10025"/>
    <x v="1"/>
    <s v="Aarav Sharma"/>
    <s v="Aarav Sharma"/>
    <x v="2"/>
    <s v="Maharashtra"/>
    <x v="1"/>
    <s v="Furniture"/>
    <n v="4"/>
    <n v="0"/>
    <n v="9433.9500000000007"/>
    <n v="37735.800000000003"/>
    <n v="18029.96"/>
    <n v="19705.84"/>
    <s v="Cash"/>
    <s v="CASH"/>
  </r>
  <r>
    <s v="ORD10455"/>
    <x v="2"/>
    <s v="Swati Kale"/>
    <s v="Swati Kale"/>
    <x v="3"/>
    <s v="Maharashtra"/>
    <x v="2"/>
    <s v="Electronics"/>
    <n v="4"/>
    <n v="0"/>
    <n v="53753.02"/>
    <n v="215012.08"/>
    <n v="170008.04"/>
    <n v="45004.04"/>
    <s v="Net Banking"/>
    <s v="NET BANKING"/>
  </r>
  <r>
    <s v="ORD10440"/>
    <x v="2"/>
    <s v="Meera Desai"/>
    <s v="Meera Desai"/>
    <x v="3"/>
    <s v="Maharashtra"/>
    <x v="3"/>
    <s v="Accessories"/>
    <n v="4"/>
    <n v="0.15"/>
    <n v="1207.0899999999999"/>
    <n v="4104.1099999999997"/>
    <n v="1374.96"/>
    <n v="2729.15"/>
    <s v="Debit Card"/>
    <s v="DEBIT CARD"/>
  </r>
  <r>
    <s v="ORD10394"/>
    <x v="2"/>
    <s v="Akash Wagh"/>
    <s v="Akash Wagh"/>
    <x v="4"/>
    <s v="Maharashtra"/>
    <x v="4"/>
    <s v="Bags"/>
    <n v="5"/>
    <n v="0"/>
    <n v="1748.41"/>
    <n v="8742.0499999999993"/>
    <n v="3557.8"/>
    <n v="5184.25"/>
    <s v="UPI"/>
    <s v="UPI"/>
  </r>
  <r>
    <s v="ORD10189"/>
    <x v="3"/>
    <s v="Nikhil Gupta"/>
    <s v="Nikhil Gupta"/>
    <x v="5"/>
    <s v="Maharashtra"/>
    <x v="5"/>
    <s v="Furniture"/>
    <n v="2"/>
    <n v="0"/>
    <n v="6138.5"/>
    <n v="12277"/>
    <n v="4828.08"/>
    <n v="7448.92"/>
    <s v="Credit Card"/>
    <s v="CREDIT CARD"/>
  </r>
  <r>
    <s v="ORD10272"/>
    <x v="3"/>
    <s v="Priya Patil"/>
    <s v="Priya Patil"/>
    <x v="4"/>
    <s v="Maharashtra"/>
    <x v="2"/>
    <s v="Electronics"/>
    <n v="2"/>
    <n v="0"/>
    <n v="51783.16"/>
    <n v="103566.32"/>
    <n v="83871.44"/>
    <n v="19694.88"/>
    <s v="UPI"/>
    <s v="UPI"/>
  </r>
  <r>
    <s v="ORD10401"/>
    <x v="3"/>
    <s v="Meera Desai"/>
    <s v="Meera Desai"/>
    <x v="2"/>
    <s v="Maharashtra"/>
    <x v="5"/>
    <s v="Furniture"/>
    <n v="5"/>
    <n v="0"/>
    <s v="S"/>
    <n v="29558.9"/>
    <n v="12651.6"/>
    <n v="16907.3"/>
    <s v="Net Banking"/>
    <s v="NET BANKING"/>
  </r>
  <r>
    <s v="ORD10329"/>
    <x v="3"/>
    <s v="Akash Wagh"/>
    <s v="Akash Wagh"/>
    <x v="6"/>
    <s v="Telangana"/>
    <x v="3"/>
    <s v="Accessories"/>
    <n v="5"/>
    <n v="0.05"/>
    <n v="1144.56"/>
    <n v="5436.66"/>
    <n v="1793.05"/>
    <n v="3643.61"/>
    <s v="Cash"/>
    <s v="CASH"/>
  </r>
  <r>
    <s v="ORD10368"/>
    <x v="4"/>
    <s v="Pooja Shinde"/>
    <s v="Pooja Shinde"/>
    <x v="3"/>
    <s v="Maharashtra"/>
    <x v="3"/>
    <s v="Accessories"/>
    <n v="2"/>
    <n v="0.05"/>
    <n v="1161.6400000000001"/>
    <n v="2207.12"/>
    <n v="697.1"/>
    <n v="1510.02"/>
    <s v="Cash"/>
    <s v="CASH"/>
  </r>
  <r>
    <s v="ORD10069"/>
    <x v="4"/>
    <s v="Akash Wagh"/>
    <s v="Akash Wagh"/>
    <x v="6"/>
    <s v="Telangana"/>
    <x v="2"/>
    <s v="Electronics"/>
    <n v="2"/>
    <n v="0"/>
    <n v="50096.03"/>
    <n v="100192.06"/>
    <n v="79914.84"/>
    <n v="20277.22"/>
    <s v="Net Banking"/>
    <s v="NET BANKING"/>
  </r>
  <r>
    <s v="ORD10032"/>
    <x v="4"/>
    <s v="Rohan Deshmukh"/>
    <s v="Rohan Deshmukh"/>
    <x v="4"/>
    <s v="Maharashtra"/>
    <x v="6"/>
    <s v="Accessories"/>
    <n v="3"/>
    <n v="0.1"/>
    <n v="3340.26"/>
    <n v="9018.7000000000007"/>
    <n v="3778.05"/>
    <n v="5240.6499999999996"/>
    <s v="Cash"/>
    <s v="CASH"/>
  </r>
  <r>
    <s v="ORD10134"/>
    <x v="5"/>
    <s v="Vivek More"/>
    <s v="Vivek More"/>
    <x v="4"/>
    <s v="Maharashtra"/>
    <x v="1"/>
    <s v="Furniture"/>
    <n v="2"/>
    <n v="0.05"/>
    <n v="9373.94"/>
    <n v="17810.490000000002"/>
    <n v="8580.56"/>
    <n v="9229.93"/>
    <s v="Debit Card"/>
    <s v="DEBIT CARD"/>
  </r>
  <r>
    <s v="ORD10267"/>
    <x v="5"/>
    <s v="Neha Jadhav"/>
    <s v="Neha Jadhav"/>
    <x v="0"/>
    <s v="Delhi"/>
    <x v="7"/>
    <s v="Electronics"/>
    <n v="2"/>
    <n v="0.05"/>
    <n v="21661.02"/>
    <n v="41155.94"/>
    <n v="27482.54"/>
    <n v="13673.4"/>
    <s v="Credit Card"/>
    <s v="CREDIT CARD"/>
  </r>
  <r>
    <s v="ORD10117"/>
    <x v="5"/>
    <s v="Anjali Chavan"/>
    <s v="Anjali Chavan"/>
    <x v="1"/>
    <s v="Maharashtra"/>
    <x v="6"/>
    <s v="Accessories"/>
    <n v="4"/>
    <n v="0.05"/>
    <n v="3396.74"/>
    <n v="12907.61"/>
    <n v="4700.72"/>
    <n v="8206.89"/>
    <s v="UPI"/>
    <s v="UPI"/>
  </r>
  <r>
    <s v="ORD10081"/>
    <x v="6"/>
    <s v="Akash Wagh"/>
    <s v="Akash Wagh"/>
    <x v="2"/>
    <s v="Maharashtra"/>
    <x v="3"/>
    <s v="Accessories"/>
    <n v="3"/>
    <n v="0.1"/>
    <n v="1147.33"/>
    <n v="3097.79"/>
    <n v="1026.57"/>
    <n v="2071.2199999999998"/>
    <s v="Debit Card"/>
    <s v="DEBIT CARD"/>
  </r>
  <r>
    <s v="ORD10237"/>
    <x v="6"/>
    <s v=" Priya Patil "/>
    <s v="Priya Patil"/>
    <x v="4"/>
    <s v="Maharashtra"/>
    <x v="1"/>
    <s v="Furniture"/>
    <n v="5"/>
    <n v="0"/>
    <n v="9213.69"/>
    <n v="46068.45"/>
    <n v="22527.5"/>
    <n v="23540.95"/>
    <s v="UPI"/>
    <s v="UPI"/>
  </r>
  <r>
    <s v="ORD10067"/>
    <x v="7"/>
    <s v="Riya Shah"/>
    <s v="Riya Shah"/>
    <x v="7"/>
    <s v="Gujarat"/>
    <x v="8"/>
    <s v="Electronics"/>
    <n v="5"/>
    <n v="0.1"/>
    <n v="15866.62"/>
    <n v="71399.789999999994"/>
    <n v="45365.25"/>
    <n v="26034.54"/>
    <s v="Debit Card"/>
    <s v="DEBIT CARD"/>
  </r>
  <r>
    <s v="ORD10243"/>
    <x v="8"/>
    <s v="Anjali Chavan"/>
    <s v="Anjali Chavan"/>
    <x v="1"/>
    <s v="Maharashtra"/>
    <x v="9"/>
    <s v="Furniture"/>
    <n v="2"/>
    <n v="0.05"/>
    <n v="7561.82"/>
    <n v="14367.46"/>
    <n v="7173.66"/>
    <n v="7193.8"/>
    <s v="UPI"/>
    <s v="UPI"/>
  </r>
  <r>
    <s v="ORD10340"/>
    <x v="9"/>
    <s v="Nikhil Gupta"/>
    <s v="Nikhil Gupta"/>
    <x v="1"/>
    <s v="Maharashtra"/>
    <x v="9"/>
    <s v="Furniture"/>
    <n v="1"/>
    <n v="0.05"/>
    <n v="7720.89"/>
    <n v="7334.85"/>
    <n v="3572.48"/>
    <n v="3762.37"/>
    <s v="Cash"/>
    <s v="CASH"/>
  </r>
  <r>
    <s v="ORD10481"/>
    <x v="9"/>
    <s v="Sagar Mane"/>
    <s v="Sagar Mane"/>
    <x v="5"/>
    <s v="Maharashtra"/>
    <x v="4"/>
    <s v="Bags"/>
    <n v="1"/>
    <n v="0"/>
    <n v="1803.61"/>
    <n v="1803.61"/>
    <n v="701.54"/>
    <n v="1102.07"/>
    <s v="Credit Card"/>
    <s v="CREDIT CARD"/>
  </r>
  <r>
    <s v="ORD10352"/>
    <x v="9"/>
    <s v="Riya Shah"/>
    <s v="Riya Shah"/>
    <x v="7"/>
    <s v="Gujarat"/>
    <x v="4"/>
    <s v="Bags"/>
    <n v="3"/>
    <n v="0.05"/>
    <n v="1747.6"/>
    <n v="4980.66"/>
    <n v="2072.4299999999998"/>
    <n v="2908.23"/>
    <s v="Net Banking"/>
    <s v="NET BANKING"/>
  </r>
  <r>
    <s v="ORD10221"/>
    <x v="10"/>
    <s v="Vivek More"/>
    <s v="Vivek More"/>
    <x v="8"/>
    <s v="Maharashtra"/>
    <x v="8"/>
    <s v="Electronics"/>
    <n v="2"/>
    <n v="0.1"/>
    <n v="16489.48"/>
    <n v="29681.06"/>
    <n v="18522.060000000001"/>
    <n v="11159"/>
    <s v="Net Banking"/>
    <s v="NET BANKING"/>
  </r>
  <r>
    <s v="ORD10172"/>
    <x v="10"/>
    <s v="Amit Verma"/>
    <s v="Amit Verma"/>
    <x v="9"/>
    <s v="Madhya Pradesh"/>
    <x v="3"/>
    <s v="Accessories"/>
    <n v="2"/>
    <n v="0.1"/>
    <n v="1197.71"/>
    <n v="2155.88"/>
    <n v="667.86"/>
    <n v="1488.02"/>
    <s v="Credit Card"/>
    <s v="CREDIT CARD"/>
  </r>
  <r>
    <s v="ORD10082"/>
    <x v="10"/>
    <s v="Kunal Thakur"/>
    <s v="Kunal Thakur"/>
    <x v="9"/>
    <s v="Madhya Pradesh"/>
    <x v="6"/>
    <s v="Accessories"/>
    <n v="2"/>
    <n v="0.1"/>
    <n v="3510.94"/>
    <n v="6319.69"/>
    <n v="2452.92"/>
    <n v="3866.77"/>
    <s v="Debit Card"/>
    <s v="DEBIT CARD"/>
  </r>
  <r>
    <s v="ORD10252"/>
    <x v="10"/>
    <s v="Priya Patil"/>
    <s v="Priya Patil"/>
    <x v="2"/>
    <s v="Maharashtra"/>
    <x v="4"/>
    <s v="Bags"/>
    <n v="4"/>
    <n v="0.05"/>
    <n v="1862.65"/>
    <n v="7078.07"/>
    <n v="2895.2"/>
    <n v="4182.87"/>
    <s v="Net Banking"/>
    <s v="NET BANKING"/>
  </r>
  <r>
    <s v="ORD10098"/>
    <x v="11"/>
    <s v="Nikhil Gupta"/>
    <s v="Nikhil Gupta"/>
    <x v="9"/>
    <s v="Madhya Pradesh"/>
    <x v="1"/>
    <s v="Furniture"/>
    <n v="3"/>
    <n v="0"/>
    <n v="8849.5300000000007"/>
    <n v="26548.59"/>
    <n v="13811.25"/>
    <n v="12737.34"/>
    <s v="Net Banking"/>
    <s v="NET BANKING"/>
  </r>
  <r>
    <s v="ORD10083"/>
    <x v="11"/>
    <s v="Aditya Joshi"/>
    <s v="Aditya Joshi"/>
    <x v="3"/>
    <s v="Maharashtra"/>
    <x v="1"/>
    <s v="Furniture"/>
    <n v="3"/>
    <n v="0.05"/>
    <n v="8646.4500000000007"/>
    <n v="24642.38"/>
    <n v="13429.02"/>
    <n v="11213.36"/>
    <s v="Cash"/>
    <s v="CASH"/>
  </r>
  <r>
    <s v="ORD10433"/>
    <x v="12"/>
    <s v="Rahul Pawar"/>
    <s v="Rahul Pawar"/>
    <x v="9"/>
    <s v="Madhya Pradesh"/>
    <x v="2"/>
    <s v="Electronics"/>
    <n v="5"/>
    <n v="0"/>
    <n v="51153.47"/>
    <n v="255767.35"/>
    <n v="202499.7"/>
    <n v="53267.65"/>
    <s v="Net Banking"/>
    <s v="NET BANKING"/>
  </r>
  <r>
    <s v="ORD10404"/>
    <x v="12"/>
    <s v="Priya Patil"/>
    <s v="Priya Patil"/>
    <x v="9"/>
    <s v="Madhya Pradesh"/>
    <x v="9"/>
    <s v="Furniture"/>
    <n v="2"/>
    <n v="0.1"/>
    <n v="7811.05"/>
    <n v="14059.89"/>
    <n v="6658.04"/>
    <n v="7401.85"/>
    <s v="Credit Card"/>
    <s v="CREDIT CARD"/>
  </r>
  <r>
    <s v="ORD10109"/>
    <x v="12"/>
    <s v="Amit Verma"/>
    <s v="Amit Verma"/>
    <x v="0"/>
    <s v="Delhi"/>
    <x v="0"/>
    <s v="Electronics"/>
    <n v="3"/>
    <n v="0.1"/>
    <n v="11958.84"/>
    <n v="32288.87"/>
    <n v="19462.62"/>
    <n v="12826.25"/>
    <s v="Debit Card"/>
    <s v="DEBIT CARD"/>
  </r>
  <r>
    <s v="ORD10123"/>
    <x v="12"/>
    <s v="Aditya Joshi"/>
    <s v="Aditya Joshi"/>
    <x v="1"/>
    <s v="Maharashtra"/>
    <x v="3"/>
    <s v="Accessories"/>
    <n v="2"/>
    <n v="0.05"/>
    <n v="1237.81"/>
    <n v="2351.84"/>
    <n v="699.86"/>
    <n v="1651.98"/>
    <s v="UPI"/>
    <s v="UPI"/>
  </r>
  <r>
    <s v="ORD10431"/>
    <x v="13"/>
    <s v="Rohan Deshmukh"/>
    <s v="Rohan Deshmukh"/>
    <x v="2"/>
    <s v="Maharashtra"/>
    <x v="3"/>
    <s v="Accessories"/>
    <n v="4"/>
    <n v="0.05"/>
    <n v="1258.3499999999999"/>
    <n v="4781.7299999999996"/>
    <n v="1388.08"/>
    <n v="3393.65"/>
    <s v="Credit Card"/>
    <s v="CREDIT CARD"/>
  </r>
  <r>
    <s v="ORD10334"/>
    <x v="14"/>
    <s v="Amit Verma"/>
    <s v="Amit Verma"/>
    <x v="1"/>
    <s v="Maharashtra"/>
    <x v="10"/>
    <s v="Electronics"/>
    <n v="5"/>
    <n v="0.05"/>
    <n v="18227.87"/>
    <n v="86582.38"/>
    <n v="41705.550000000003"/>
    <n v="44876.83"/>
    <s v="Debit Card"/>
    <s v="DEBIT CARD"/>
  </r>
  <r>
    <s v="ORD10159"/>
    <x v="14"/>
    <s v="Amit Verma"/>
    <s v="Amit Verma"/>
    <x v="8"/>
    <s v="Maharashtra"/>
    <x v="1"/>
    <s v="Furniture"/>
    <n v="5"/>
    <n v="0.05"/>
    <n v="8748.69"/>
    <n v="41556.28"/>
    <n v="21560.35"/>
    <n v="19995.93"/>
    <s v="Debit Card"/>
    <s v="DEBIT CARD"/>
  </r>
  <r>
    <s v="ORD10399"/>
    <x v="14"/>
    <s v="Kunal Thakur"/>
    <s v="Kunal Thakur"/>
    <x v="1"/>
    <s v="Maharashtra"/>
    <x v="10"/>
    <s v="Electronics"/>
    <n v="2"/>
    <n v="0.1"/>
    <n v="18318.87"/>
    <n v="32973.97"/>
    <n v="16200.04"/>
    <n v="16773.93"/>
    <s v="UPI"/>
    <s v="UPI"/>
  </r>
  <r>
    <s v="ORD10438"/>
    <x v="14"/>
    <s v="Neha Jadhav"/>
    <s v="Neha Jadhav"/>
    <x v="10"/>
    <s v="Karnataka"/>
    <x v="11"/>
    <s v="Accessories"/>
    <n v="1"/>
    <n v="0.1"/>
    <n v="1872.32"/>
    <n v="1685.09"/>
    <n v="582.21"/>
    <n v="1102.8800000000001"/>
    <s v="Cash"/>
    <s v="CASH"/>
  </r>
  <r>
    <s v="ORD10103"/>
    <x v="15"/>
    <s v="Nikhil Gupta"/>
    <s v="Nikhil Gupta"/>
    <x v="10"/>
    <s v="Karnataka"/>
    <x v="11"/>
    <s v="Accessories"/>
    <n v="4"/>
    <n v="0"/>
    <n v="1873.52"/>
    <n v="7494.08"/>
    <n v="2420"/>
    <n v="5074.08"/>
    <s v="Credit Card"/>
    <s v="CREDIT CARD"/>
  </r>
  <r>
    <s v="ORD10384"/>
    <x v="16"/>
    <s v="Anjali Chavan"/>
    <s v="Anjali Chavan"/>
    <x v="8"/>
    <s v="Maharashtra"/>
    <x v="11"/>
    <s v="Accessories"/>
    <n v="1"/>
    <n v="0"/>
    <n v="1855.96"/>
    <n v="1855.96"/>
    <n v="620.15"/>
    <n v="1235.81"/>
    <s v="Cash"/>
    <s v="CASH"/>
  </r>
  <r>
    <s v="ORD10357"/>
    <x v="16"/>
    <s v="Amit Verma"/>
    <s v="Amit Verma"/>
    <x v="8"/>
    <s v="Maharashtra"/>
    <x v="8"/>
    <s v="Electronics"/>
    <n v="1"/>
    <n v="0.05"/>
    <n v="15728.39"/>
    <n v="14941.97"/>
    <n v="9365.4599999999991"/>
    <n v="5576.51"/>
    <s v="UPI"/>
    <s v="UPI"/>
  </r>
  <r>
    <s v="ORD10224"/>
    <x v="17"/>
    <s v="Nikhil Gupta"/>
    <s v="Nikhil Gupta"/>
    <x v="1"/>
    <s v="Maharashtra"/>
    <x v="6"/>
    <s v="Accessories"/>
    <n v="3"/>
    <n v="0.15"/>
    <n v="3613.82"/>
    <n v="9215.24"/>
    <n v="3659.88"/>
    <n v="5555.36"/>
    <s v="Cash"/>
    <s v="CASH"/>
  </r>
  <r>
    <s v="ORD10212"/>
    <x v="18"/>
    <s v="Pooja Shinde"/>
    <s v="Pooja Shinde"/>
    <x v="4"/>
    <s v="Maharashtra"/>
    <x v="10"/>
    <s v="Electronics"/>
    <n v="1"/>
    <n v="0.05"/>
    <n v="17896.34"/>
    <n v="17001.52"/>
    <n v="8265.49"/>
    <n v="8736.0300000000007"/>
    <s v="Credit Card"/>
    <s v="CREDIT CARD"/>
  </r>
  <r>
    <s v="ORD10065"/>
    <x v="19"/>
    <s v="Aditya Joshi"/>
    <s v="Aditya Joshi"/>
    <x v="1"/>
    <s v="Maharashtra"/>
    <x v="11"/>
    <s v="Accessories"/>
    <n v="2"/>
    <n v="0"/>
    <n v="1793.47"/>
    <n v="3586.94"/>
    <n v="1182.4000000000001"/>
    <n v="2404.54"/>
    <s v="UPI"/>
    <s v="UPI"/>
  </r>
  <r>
    <s v="ORD10239"/>
    <x v="19"/>
    <s v="Kunal Thakur"/>
    <s v="Kunal Thakur"/>
    <x v="3"/>
    <s v="Maharashtra"/>
    <x v="9"/>
    <s v="Furniture"/>
    <n v="2"/>
    <n v="0.05"/>
    <n v="7868.69"/>
    <n v="14950.51"/>
    <n v="7329.52"/>
    <n v="7620.99"/>
    <s v="Debit Card"/>
    <s v="DEBIT CARD"/>
  </r>
  <r>
    <s v="ORD10014"/>
    <x v="20"/>
    <s v="Sneha Kulkarni"/>
    <s v="Sneha Kulkarni"/>
    <x v="0"/>
    <s v="Delhi"/>
    <x v="6"/>
    <s v="Accessories"/>
    <n v="5"/>
    <n v="0.05"/>
    <n v="3642.65"/>
    <n v="17302.59"/>
    <n v="5849.6"/>
    <n v="11452.99"/>
    <s v="Net Banking"/>
    <s v="NET BANKING"/>
  </r>
  <r>
    <s v="ORD10247"/>
    <x v="20"/>
    <s v="Nikhil Gupta"/>
    <s v="Nikhil Gupta"/>
    <x v="1"/>
    <s v="Maharashtra"/>
    <x v="10"/>
    <s v="Electronics"/>
    <n v="3"/>
    <n v="0"/>
    <n v="18071.2"/>
    <n v="54213.599999999999"/>
    <n v="24547.08"/>
    <n v="29666.52"/>
    <s v="Cash"/>
    <s v="CASH"/>
  </r>
  <r>
    <s v="ORD10344"/>
    <x v="21"/>
    <s v="Sneha Kulkarni"/>
    <s v="Sneha Kulkarni"/>
    <x v="5"/>
    <s v="Maharashtra"/>
    <x v="7"/>
    <s v="Electronics"/>
    <n v="2"/>
    <n v="0.05"/>
    <n v="22709.58"/>
    <n v="43148.2"/>
    <n v="28851.08"/>
    <n v="14297.12"/>
    <s v="Net Banking"/>
    <s v="NET BANKING"/>
  </r>
  <r>
    <s v="ORD10264"/>
    <x v="22"/>
    <s v="Isha Bhosale"/>
    <s v="Isha Bhosale"/>
    <x v="7"/>
    <s v="Gujarat"/>
    <x v="8"/>
    <s v="Electronics"/>
    <n v="1"/>
    <n v="0.1"/>
    <n v="15211.25"/>
    <n v="13690.12"/>
    <n v="8601.5499999999993"/>
    <n v="5088.57"/>
    <s v="UPI"/>
    <s v="UPI"/>
  </r>
  <r>
    <s v="ORD10152"/>
    <x v="22"/>
    <s v="Anjali Chavan"/>
    <s v="Anjali Chavan"/>
    <x v="3"/>
    <s v="Maharashtra"/>
    <x v="10"/>
    <s v="Electronics"/>
    <n v="4"/>
    <n v="0"/>
    <n v="18685.57"/>
    <n v="74742.28"/>
    <n v="33189.879999999997"/>
    <n v="41552.400000000001"/>
    <s v="Credit Card"/>
    <s v="CREDIT CARD"/>
  </r>
  <r>
    <s v="ORD10165"/>
    <x v="23"/>
    <s v="Amit Verma"/>
    <s v="Amit Verma"/>
    <x v="5"/>
    <s v="Maharashtra"/>
    <x v="2"/>
    <s v="Electronics"/>
    <n v="5"/>
    <n v="0"/>
    <n v="51440.97"/>
    <n v="257204.85"/>
    <n v="209578.7"/>
    <n v="47626.15"/>
    <s v="Net Banking"/>
    <s v="NET BANKING"/>
  </r>
  <r>
    <s v="ORD10281"/>
    <x v="23"/>
    <s v="Vivek More"/>
    <s v="Vivek More"/>
    <x v="3"/>
    <s v="Maharashtra"/>
    <x v="5"/>
    <s v="Furniture"/>
    <n v="3"/>
    <n v="0"/>
    <n v="6179.16"/>
    <n v="18537.48"/>
    <n v="7850.82"/>
    <n v="10686.66"/>
    <s v="Cash"/>
    <s v="CASH"/>
  </r>
  <r>
    <s v="ORD10395"/>
    <x v="23"/>
    <s v="Sneha Kulkarni"/>
    <s v="Sneha Kulkarni"/>
    <x v="8"/>
    <s v="Maharashtra"/>
    <x v="5"/>
    <s v="Furniture"/>
    <n v="5"/>
    <n v="0.1"/>
    <n v="5997.76"/>
    <n v="26989.919999999998"/>
    <n v="12350.65"/>
    <n v="14639.27"/>
    <s v="Credit Card"/>
    <s v="CREDIT CARD"/>
  </r>
  <r>
    <s v="ORD10157"/>
    <x v="24"/>
    <s v="Neha Jadhav"/>
    <s v="Neha Jadhav"/>
    <x v="0"/>
    <s v="Delhi"/>
    <x v="5"/>
    <s v="Furniture"/>
    <n v="4"/>
    <n v="0.05"/>
    <n v="6056.64"/>
    <n v="23015.23"/>
    <n v="9883.6"/>
    <n v="13131.63"/>
    <s v="Debit Card"/>
    <s v="DEBIT CARD"/>
  </r>
  <r>
    <s v="ORD10214"/>
    <x v="25"/>
    <s v="Aditya Joshi"/>
    <s v="Aditya Joshi"/>
    <x v="9"/>
    <s v="Madhya Pradesh"/>
    <x v="8"/>
    <s v="Electronics"/>
    <n v="2"/>
    <n v="0"/>
    <n v="15733.71"/>
    <n v="31467.42"/>
    <n v="18144.86"/>
    <n v="13322.56"/>
    <s v="Net Banking"/>
    <s v="NET BANKING"/>
  </r>
  <r>
    <s v="ORD10203"/>
    <x v="25"/>
    <s v="Isha Bhosale"/>
    <s v="Isha Bhosale"/>
    <x v="9"/>
    <s v="Madhya Pradesh"/>
    <x v="1"/>
    <s v="Furniture"/>
    <n v="5"/>
    <n v="0"/>
    <n v="8815.75"/>
    <n v="44078.75"/>
    <n v="23160.15"/>
    <n v="20918.599999999999"/>
    <s v="Cash"/>
    <s v="CASH"/>
  </r>
  <r>
    <s v="ORD10419"/>
    <x v="26"/>
    <s v="Vivek More"/>
    <s v="Vivek More"/>
    <x v="5"/>
    <s v="Maharashtra"/>
    <x v="3"/>
    <s v="Accessories"/>
    <n v="3"/>
    <n v="0.05"/>
    <n v="1172.26"/>
    <n v="3340.94"/>
    <n v="1036.2"/>
    <n v="2304.7399999999998"/>
    <s v="Credit Card"/>
    <s v="CREDIT CARD"/>
  </r>
  <r>
    <s v="ORD10240"/>
    <x v="27"/>
    <s v="Nikhil Gupta"/>
    <s v="Nikhil Gupta"/>
    <x v="9"/>
    <s v="Madhya Pradesh"/>
    <x v="0"/>
    <s v="Electronics"/>
    <n v="5"/>
    <n v="0.05"/>
    <n v="12396.64"/>
    <n v="58884.04"/>
    <n v="31098.3"/>
    <n v="27785.74"/>
    <s v="Cash"/>
    <s v="CASH"/>
  </r>
  <r>
    <s v="ORD10093"/>
    <x v="27"/>
    <s v="Rohan Deshmukh"/>
    <s v="Rohan Deshmukh"/>
    <x v="7"/>
    <s v="Gujarat"/>
    <x v="9"/>
    <s v="Furniture"/>
    <n v="2"/>
    <n v="0"/>
    <n v="7229.12"/>
    <n v="14458.24"/>
    <n v="6651.9"/>
    <n v="7806.34"/>
    <s v="UPI"/>
    <s v="UPI"/>
  </r>
  <r>
    <s v="ORD10138"/>
    <x v="28"/>
    <s v="Meera Desai"/>
    <s v="Meera Desai"/>
    <x v="3"/>
    <s v="Maharashtra"/>
    <x v="0"/>
    <s v="Electronics"/>
    <n v="2"/>
    <n v="0"/>
    <n v="12449.64"/>
    <n v="24899.279999999999"/>
    <n v="13037.62"/>
    <n v="11861.66"/>
    <s v="Cash"/>
    <s v="CASH"/>
  </r>
  <r>
    <s v="ORD10010"/>
    <x v="29"/>
    <s v="Rahul Pawar"/>
    <s v="Rahul Pawar"/>
    <x v="9"/>
    <s v="Madhya Pradesh"/>
    <x v="2"/>
    <s v="Electronics"/>
    <n v="3"/>
    <n v="0.1"/>
    <n v="52550.99"/>
    <n v="141887.67000000001"/>
    <n v="131371.38"/>
    <n v="10516.29"/>
    <s v="UPI"/>
    <s v="UPI"/>
  </r>
  <r>
    <s v="ORD10414"/>
    <x v="29"/>
    <s v="Anjali Chavan"/>
    <s v="Anjali Chavan"/>
    <x v="0"/>
    <s v="Delhi"/>
    <x v="10"/>
    <s v="Electronics"/>
    <n v="1"/>
    <n v="0"/>
    <n v="18893.27"/>
    <n v="18893.27"/>
    <n v="7783.34"/>
    <n v="11109.93"/>
    <s v="Credit Card"/>
    <s v="CREDIT CARD"/>
  </r>
  <r>
    <s v="ORD10220"/>
    <x v="30"/>
    <s v="Neha Jadhav"/>
    <s v="Neha Jadhav"/>
    <x v="2"/>
    <s v="Maharashtra"/>
    <x v="3"/>
    <s v="Accessories"/>
    <n v="3"/>
    <n v="0.05"/>
    <n v="1207.99"/>
    <n v="3442.77"/>
    <n v="1038.57"/>
    <n v="2404.1999999999998"/>
    <s v="Credit Card"/>
    <s v="CREDIT CARD"/>
  </r>
  <r>
    <s v="ORD10271"/>
    <x v="31"/>
    <s v="Vivek More"/>
    <s v="Vivek More"/>
    <x v="11"/>
    <s v="Madhya Pradesh"/>
    <x v="4"/>
    <s v="Bags"/>
    <n v="1"/>
    <n v="0.05"/>
    <n v="1730.66"/>
    <n v="1644.13"/>
    <n v="725.21"/>
    <n v="918.92"/>
    <s v="UPI"/>
    <s v="UPI"/>
  </r>
  <r>
    <s v="ORD10133"/>
    <x v="32"/>
    <s v="Anjali Chavan"/>
    <s v="Anjali Chavan"/>
    <x v="9"/>
    <s v="Madhya Pradesh"/>
    <x v="7"/>
    <s v="Electronics"/>
    <n v="1"/>
    <n v="0.05"/>
    <n v="22424.99"/>
    <n v="21303.74"/>
    <n v="13372.23"/>
    <n v="7931.51"/>
    <s v="UPI"/>
    <s v="UPI"/>
  </r>
  <r>
    <s v="ORD10415"/>
    <x v="32"/>
    <s v="Aarav Sharma"/>
    <s v="Aarav Sharma"/>
    <x v="8"/>
    <s v="Maharashtra"/>
    <x v="6"/>
    <s v="Accessories"/>
    <n v="5"/>
    <n v="0"/>
    <n v="3394.74"/>
    <n v="16973.7"/>
    <n v="6226.5"/>
    <n v="10747.2"/>
    <s v="UPI"/>
    <s v="UPI"/>
  </r>
  <r>
    <s v="ORD10044"/>
    <x v="32"/>
    <s v="Akash Wagh"/>
    <s v="Akash Wagh"/>
    <x v="4"/>
    <s v="Maharashtra"/>
    <x v="0"/>
    <s v="Electronics"/>
    <n v="3"/>
    <n v="0.1"/>
    <n v="11417.27"/>
    <n v="30826.63"/>
    <n v="18751.349999999999"/>
    <n v="12075.28"/>
    <s v="Cash"/>
    <s v="CASH"/>
  </r>
  <r>
    <s v="ORD10042"/>
    <x v="33"/>
    <s v="Pooja Shinde"/>
    <s v="Pooja Shinde"/>
    <x v="5"/>
    <s v="Maharashtra"/>
    <x v="11"/>
    <s v="Accessories"/>
    <n v="1"/>
    <n v="0"/>
    <n v="1738.16"/>
    <n v="1738.16"/>
    <n v="585.01"/>
    <n v="1153.1500000000001"/>
    <s v="Net Banking"/>
    <s v="NET BANKING"/>
  </r>
  <r>
    <s v="ORD10003"/>
    <x v="34"/>
    <s v="Anjali Chavan"/>
    <s v="Anjali Chavan"/>
    <x v="7"/>
    <s v="Gujarat"/>
    <x v="5"/>
    <s v="Furniture"/>
    <n v="5"/>
    <n v="0.05"/>
    <n v="6066.99"/>
    <n v="28818.2"/>
    <n v="11883.85"/>
    <n v="16934.349999999999"/>
    <s v="Cash"/>
    <s v="CASH"/>
  </r>
  <r>
    <s v="ORD10304"/>
    <x v="34"/>
    <s v="Meera Desai"/>
    <s v="Meera Desai"/>
    <x v="5"/>
    <s v="Maharashtra"/>
    <x v="8"/>
    <s v="Electronics"/>
    <n v="3"/>
    <n v="0"/>
    <n v="15958.86"/>
    <n v="47876.58"/>
    <n v="27245.34"/>
    <n v="20631.240000000002"/>
    <s v="UPI"/>
    <s v="UPI"/>
  </r>
  <r>
    <s v="ORD10006"/>
    <x v="35"/>
    <s v="Pooja Shinde"/>
    <s v="Pooja Shinde"/>
    <x v="2"/>
    <s v="Maharashtra"/>
    <x v="5"/>
    <s v="Furniture"/>
    <n v="4"/>
    <n v="0"/>
    <n v="5997.11"/>
    <n v="23988.44"/>
    <n v="9534.4"/>
    <n v="14454.04"/>
    <s v="Cash"/>
    <s v="CASH"/>
  </r>
  <r>
    <s v="ORD10055"/>
    <x v="36"/>
    <s v="Swati Kale"/>
    <s v="Swati Kale"/>
    <x v="7"/>
    <s v="Gujarat"/>
    <x v="6"/>
    <s v="Accessories"/>
    <n v="3"/>
    <n v="0.05"/>
    <n v="3354.15"/>
    <n v="9559.33"/>
    <n v="3453"/>
    <n v="6106.33"/>
    <s v="UPI"/>
    <s v="UPI"/>
  </r>
  <r>
    <s v="ORD10342"/>
    <x v="36"/>
    <s v="Kunal Thakur"/>
    <s v="Kunal Thakur"/>
    <x v="3"/>
    <s v="Maharashtra"/>
    <x v="1"/>
    <s v="Furniture"/>
    <n v="1"/>
    <n v="0.05"/>
    <n v="8747.35"/>
    <n v="8309.98"/>
    <n v="4290.1499999999996"/>
    <n v="4019.83"/>
    <s v="UPI"/>
    <s v="UPI"/>
  </r>
  <r>
    <s v="ORD10355"/>
    <x v="37"/>
    <s v="Anjali Chavan"/>
    <s v="Anjali Chavan"/>
    <x v="5"/>
    <s v="Maharashtra"/>
    <x v="6"/>
    <s v="Accessories"/>
    <n v="5"/>
    <n v="0"/>
    <n v="3453.73"/>
    <n v="17268.650000000001"/>
    <n v="5734.85"/>
    <n v="11533.8"/>
    <s v="Net Banking"/>
    <s v="NET BANKING"/>
  </r>
  <r>
    <s v="ORD10343"/>
    <x v="37"/>
    <s v="Isha Bhosale"/>
    <s v="Isha Bhosale"/>
    <x v="8"/>
    <s v="Maharashtra"/>
    <x v="4"/>
    <s v="Bags"/>
    <n v="1"/>
    <n v="0.05"/>
    <n v="1866.05"/>
    <n v="1772.75"/>
    <n v="696.78"/>
    <n v="1075.97"/>
    <s v="Cash"/>
    <s v="CASH"/>
  </r>
  <r>
    <s v="ORD10489"/>
    <x v="38"/>
    <s v="Neha Jadhav"/>
    <s v="Neha Jadhav"/>
    <x v="6"/>
    <s v="Telangana"/>
    <x v="2"/>
    <s v="Electronics"/>
    <n v="1"/>
    <n v="0"/>
    <n v="52922.44"/>
    <n v="52922.44"/>
    <n v="42276.28"/>
    <n v="10646.16"/>
    <s v="Credit Card"/>
    <s v="CREDIT CARD"/>
  </r>
  <r>
    <s v="ORD10038"/>
    <x v="39"/>
    <s v="Akash Wagh"/>
    <s v="Akash Wagh"/>
    <x v="9"/>
    <s v="Madhya Pradesh"/>
    <x v="1"/>
    <s v="Furniture"/>
    <n v="3"/>
    <n v="0.05"/>
    <n v="9038.3799999999992"/>
    <n v="25759.38"/>
    <n v="13211.82"/>
    <n v="12547.56"/>
    <s v="Cash"/>
    <s v="CASH"/>
  </r>
  <r>
    <s v="ORD10034"/>
    <x v="39"/>
    <s v="Rohan Deshmukh"/>
    <s v="Rohan Deshmukh"/>
    <x v="5"/>
    <s v="Maharashtra"/>
    <x v="11"/>
    <s v="Accessories"/>
    <n v="1"/>
    <n v="0"/>
    <n v="1740.51"/>
    <n v="1740.51"/>
    <n v="603.41"/>
    <n v="1137.0999999999999"/>
    <s v="Credit Card"/>
    <s v="CREDIT CARD"/>
  </r>
  <r>
    <s v="ORD10361"/>
    <x v="40"/>
    <s v="Sneha Kulkarni"/>
    <s v="Sneha Kulkarni"/>
    <x v="5"/>
    <s v="Maharashtra"/>
    <x v="4"/>
    <s v="Bags"/>
    <n v="3"/>
    <n v="0.1"/>
    <n v="1819.11"/>
    <n v="4911.6000000000004"/>
    <n v="2056.14"/>
    <n v="2855.46"/>
    <s v="Debit Card"/>
    <s v="DEBIT CARD"/>
  </r>
  <r>
    <s v="ORD10409"/>
    <x v="40"/>
    <s v="Priya Patil"/>
    <s v="Priya Patil"/>
    <x v="8"/>
    <s v="Maharashtra"/>
    <x v="0"/>
    <s v="Electronics"/>
    <n v="1"/>
    <n v="0.05"/>
    <n v="12132.01"/>
    <n v="11525.41"/>
    <n v="6378.39"/>
    <n v="5147.0200000000004"/>
    <s v="Net Banking"/>
    <s v="NET BANKING"/>
  </r>
  <r>
    <s v="ORD10089"/>
    <x v="41"/>
    <s v="Priya Patil"/>
    <s v="Priya Patil"/>
    <x v="5"/>
    <s v="Maharashtra"/>
    <x v="10"/>
    <s v="Electronics"/>
    <n v="4"/>
    <n v="0"/>
    <n v="18855.12"/>
    <n v="75420.479999999996"/>
    <n v="31970.400000000001"/>
    <n v="43450.080000000002"/>
    <s v="Debit Card"/>
    <s v="DEBIT CARD"/>
  </r>
  <r>
    <s v="ORD10053"/>
    <x v="41"/>
    <s v="Isha Bhosale"/>
    <s v="Isha Bhosale"/>
    <x v="2"/>
    <s v="Maharashtra"/>
    <x v="2"/>
    <s v="Electronics"/>
    <n v="5"/>
    <n v="0.05"/>
    <n v="50638.83"/>
    <n v="240534.44"/>
    <n v="207432.3"/>
    <n v="33102.14"/>
    <s v="UPI"/>
    <s v="UPI"/>
  </r>
  <r>
    <s v="ORD10447"/>
    <x v="41"/>
    <s v="Neha Jadhav"/>
    <s v="Neha Jadhav"/>
    <x v="2"/>
    <s v="Maharashtra"/>
    <x v="0"/>
    <s v="Electronics"/>
    <n v="2"/>
    <n v="0"/>
    <n v="11932.63"/>
    <n v="23865.26"/>
    <n v="12936"/>
    <n v="10929.26"/>
    <s v="UPI"/>
    <s v="UPI"/>
  </r>
  <r>
    <s v="ORD10009"/>
    <x v="42"/>
    <s v="Amit Verma"/>
    <s v="Amit Verma"/>
    <x v="10"/>
    <s v="Karnataka"/>
    <x v="2"/>
    <s v="Electronics"/>
    <n v="1"/>
    <n v="0.15"/>
    <n v="53415.67"/>
    <n v="45403.32"/>
    <n v="40734.61"/>
    <n v="4668.71"/>
    <s v="Debit Card"/>
    <s v="DEBIT CARD"/>
  </r>
  <r>
    <s v="ORD10192"/>
    <x v="42"/>
    <s v="Vivek More"/>
    <s v="Vivek More"/>
    <x v="5"/>
    <s v="Maharashtra"/>
    <x v="11"/>
    <s v="Accessories"/>
    <n v="1"/>
    <n v="0"/>
    <n v="1828.41"/>
    <n v="1828.41"/>
    <n v="629.96"/>
    <n v="1198.45"/>
    <s v="UPI"/>
    <s v="UPI"/>
  </r>
  <r>
    <s v="ORD10013"/>
    <x v="42"/>
    <s v="Rahul Pawar"/>
    <s v="Rahul Pawar"/>
    <x v="3"/>
    <s v="Maharashtra"/>
    <x v="1"/>
    <s v="Furniture"/>
    <n v="3"/>
    <n v="0.05"/>
    <n v="8934.7900000000009"/>
    <n v="25464.15"/>
    <n v="12859.32"/>
    <n v="12604.83"/>
    <s v="UPI"/>
    <s v="UPI"/>
  </r>
  <r>
    <s v="ORD10251"/>
    <x v="43"/>
    <s v="Vivek More"/>
    <s v="Vivek More"/>
    <x v="0"/>
    <s v="Delhi"/>
    <x v="7"/>
    <s v="Electronics"/>
    <n v="3"/>
    <n v="0"/>
    <n v="22533.17"/>
    <n v="67599.509999999995"/>
    <n v="43323.51"/>
    <n v="24276"/>
    <s v="Net Banking"/>
    <s v="NET BANKING"/>
  </r>
  <r>
    <s v="ORD10336"/>
    <x v="44"/>
    <s v="Aarav Sharma"/>
    <s v="Aarav Sharma"/>
    <x v="6"/>
    <s v="Telangana"/>
    <x v="8"/>
    <s v="Electronics"/>
    <n v="3"/>
    <n v="0"/>
    <n v="16791.439999999999"/>
    <n v="50374.32"/>
    <n v="25892.49"/>
    <n v="24481.83"/>
    <s v="Cash"/>
    <s v="CASH"/>
  </r>
  <r>
    <s v="ORD10210"/>
    <x v="45"/>
    <s v="Neha Jadhav"/>
    <s v="Neha Jadhav"/>
    <x v="3"/>
    <s v="Maharashtra"/>
    <x v="0"/>
    <s v="Electronics"/>
    <n v="5"/>
    <n v="0.05"/>
    <n v="12230.92"/>
    <n v="58096.87"/>
    <n v="34096.6"/>
    <n v="24000.27"/>
    <s v="Credit Card"/>
    <s v="CREDIT CARD"/>
  </r>
  <r>
    <s v="ORD10076"/>
    <x v="46"/>
    <s v="Priya Patil"/>
    <s v="Priya Patil"/>
    <x v="8"/>
    <s v="Maharashtra"/>
    <x v="11"/>
    <s v="Accessories"/>
    <n v="5"/>
    <n v="0"/>
    <n v="1876.79"/>
    <n v="9383.9500000000007"/>
    <n v="2997.65"/>
    <n v="6386.3"/>
    <s v="Net Banking"/>
    <s v="NET BANKING"/>
  </r>
  <r>
    <s v="ORD10262"/>
    <x v="46"/>
    <s v="Aditya Joshi"/>
    <s v="Aditya Joshi"/>
    <x v="9"/>
    <s v="Madhya Pradesh"/>
    <x v="10"/>
    <s v="Electronics"/>
    <n v="5"/>
    <n v="0.1"/>
    <n v="17201.04"/>
    <n v="77404.679999999993"/>
    <n v="41410.9"/>
    <n v="35993.78"/>
    <s v="Cash"/>
    <s v="CASH"/>
  </r>
  <r>
    <s v="ORD10059"/>
    <x v="47"/>
    <s v="Kunal Thakur"/>
    <s v="Kunal Thakur"/>
    <x v="8"/>
    <s v="Maharashtra"/>
    <x v="2"/>
    <s v="Electronics"/>
    <n v="4"/>
    <n v="0"/>
    <n v="54120.01"/>
    <n v="216480.04"/>
    <n v="169543.72"/>
    <n v="46936.32"/>
    <s v="Net Banking"/>
    <s v="NET BANKING"/>
  </r>
  <r>
    <s v="ORD10450"/>
    <x v="47"/>
    <s v="Rohan Deshmukh"/>
    <s v="Rohan Deshmukh"/>
    <x v="5"/>
    <s v="Maharashtra"/>
    <x v="11"/>
    <s v="Accessories"/>
    <n v="4"/>
    <n v="0"/>
    <n v="1787.82"/>
    <n v="7151.28"/>
    <n v="2287.48"/>
    <n v="4863.8"/>
    <s v="Net Banking"/>
    <s v="NET BANKING"/>
  </r>
  <r>
    <s v="ORD10211"/>
    <x v="48"/>
    <s v="Pooja Shinde"/>
    <s v="Pooja Shinde"/>
    <x v="3"/>
    <s v="Maharashtra"/>
    <x v="1"/>
    <s v="Furniture"/>
    <n v="5"/>
    <n v="0"/>
    <n v="8627.09"/>
    <n v="43135.45"/>
    <n v="23386.95"/>
    <n v="19748.5"/>
    <s v="UPI"/>
    <s v="UPI"/>
  </r>
  <r>
    <s v="ORD10080"/>
    <x v="48"/>
    <s v="Nikhil Gupta"/>
    <s v="Nikhil Gupta"/>
    <x v="0"/>
    <s v="Delhi"/>
    <x v="4"/>
    <s v="Bags"/>
    <n v="4"/>
    <n v="0"/>
    <n v="1775.57"/>
    <n v="7102.28"/>
    <n v="2800.96"/>
    <n v="4301.32"/>
    <s v="UPI"/>
    <s v="UPI"/>
  </r>
  <r>
    <s v="ORD10459"/>
    <x v="49"/>
    <s v="Kavita Singh"/>
    <s v="Kavita Singh"/>
    <x v="6"/>
    <s v="Telangana"/>
    <x v="10"/>
    <s v="Electronics"/>
    <n v="5"/>
    <n v="0.05"/>
    <n v="18319.560000000001"/>
    <n v="87017.91"/>
    <n v="39492.5"/>
    <n v="47525.41"/>
    <s v="Net Banking"/>
    <s v="NET BANKING"/>
  </r>
  <r>
    <s v="ORD10195"/>
    <x v="50"/>
    <s v="Rahul Pawar"/>
    <s v="Rahul Pawar"/>
    <x v="2"/>
    <s v="Maharashtra"/>
    <x v="10"/>
    <s v="Electronics"/>
    <n v="1"/>
    <n v="0"/>
    <n v="18080.080000000002"/>
    <n v="18080.080000000002"/>
    <n v="7604.61"/>
    <n v="10475.469999999999"/>
    <s v="Net Banking"/>
    <s v="NET BANKING"/>
  </r>
  <r>
    <s v="ORD10094"/>
    <x v="50"/>
    <s v="Rohan Deshmukh"/>
    <s v="Rohan Deshmukh"/>
    <x v="7"/>
    <s v="Gujarat"/>
    <x v="11"/>
    <s v="Accessories"/>
    <n v="4"/>
    <n v="0.15"/>
    <n v="1732.37"/>
    <n v="5890.06"/>
    <n v="2455.4"/>
    <n v="3434.66"/>
    <s v="Debit Card"/>
    <s v="DEBIT CARD"/>
  </r>
  <r>
    <s v="ORD10299"/>
    <x v="50"/>
    <s v="Meera Desai"/>
    <s v="Meera Desai"/>
    <x v="5"/>
    <s v="Maharashtra"/>
    <x v="7"/>
    <s v="Electronics"/>
    <n v="1"/>
    <n v="0"/>
    <n v="22427.79"/>
    <n v="22427.79"/>
    <n v="13415.09"/>
    <n v="9012.7000000000007"/>
    <s v="UPI"/>
    <s v="UPI"/>
  </r>
  <r>
    <s v="ORD10054"/>
    <x v="50"/>
    <s v="Vivek More"/>
    <s v="Vivek More"/>
    <x v="7"/>
    <s v="Gujarat"/>
    <x v="3"/>
    <s v="Accessories"/>
    <n v="5"/>
    <n v="0.1"/>
    <n v="1186.7"/>
    <n v="5340.15"/>
    <n v="1664.4"/>
    <n v="3675.75"/>
    <s v="Cash"/>
    <s v="CASH"/>
  </r>
  <r>
    <s v="ORD10273"/>
    <x v="50"/>
    <s v="Nikhil Gupta"/>
    <s v="Nikhil Gupta"/>
    <x v="5"/>
    <s v="Maharashtra"/>
    <x v="7"/>
    <s v="Electronics"/>
    <n v="2"/>
    <n v="0.05"/>
    <n v="21805.88"/>
    <n v="41431.17"/>
    <n v="28422.720000000001"/>
    <n v="13008.45"/>
    <s v="Cash"/>
    <s v="CASH"/>
  </r>
  <r>
    <s v="ORD10495"/>
    <x v="50"/>
    <s v="Meera Desai"/>
    <s v="Meera Desai"/>
    <x v="10"/>
    <s v="Karnataka"/>
    <x v="5"/>
    <s v="Furniture"/>
    <n v="2"/>
    <n v="0.1"/>
    <n v="5737.09"/>
    <n v="10326.76"/>
    <n v="4796.18"/>
    <n v="5530.58"/>
    <s v="Net Banking"/>
    <s v="NET BANKING"/>
  </r>
  <r>
    <s v="ORD10168"/>
    <x v="51"/>
    <s v="Isha Bhosale"/>
    <s v="Isha Bhosale"/>
    <x v="2"/>
    <s v="Maharashtra"/>
    <x v="5"/>
    <s v="Furniture"/>
    <n v="1"/>
    <n v="0.05"/>
    <n v="5752.72"/>
    <n v="5465.08"/>
    <n v="2462.66"/>
    <n v="3002.42"/>
    <s v="Credit Card"/>
    <s v="CREDIT CARD"/>
  </r>
  <r>
    <s v="ORD10236"/>
    <x v="52"/>
    <s v="Akash Wagh"/>
    <s v="Akash Wagh"/>
    <x v="2"/>
    <s v="Maharashtra"/>
    <x v="5"/>
    <s v="Furniture"/>
    <n v="3"/>
    <n v="0.05"/>
    <n v="5931.81"/>
    <n v="16905.66"/>
    <n v="7462.59"/>
    <n v="9443.07"/>
    <s v="Cash"/>
    <s v="CASH"/>
  </r>
  <r>
    <s v="ORD10062"/>
    <x v="53"/>
    <s v="Amit Verma"/>
    <s v="Amit Verma"/>
    <x v="4"/>
    <s v="Maharashtra"/>
    <x v="9"/>
    <s v="Furniture"/>
    <n v="1"/>
    <n v="0"/>
    <n v="7847.42"/>
    <n v="7847.42"/>
    <n v="3329.25"/>
    <n v="4518.17"/>
    <s v="Cash"/>
    <s v="CASH"/>
  </r>
  <r>
    <s v="ORD10120"/>
    <x v="54"/>
    <s v="Anjali Chavan"/>
    <s v="Anjali Chavan"/>
    <x v="10"/>
    <s v="Karnataka"/>
    <x v="7"/>
    <s v="Electronics"/>
    <n v="5"/>
    <n v="0"/>
    <n v="22986.6"/>
    <n v="114933"/>
    <n v="71845.25"/>
    <n v="43087.75"/>
    <s v="Debit Card"/>
    <s v="DEBIT CARD"/>
  </r>
  <r>
    <s v="ORD10393"/>
    <x v="54"/>
    <s v="Priya Patil"/>
    <s v="Priya Patil"/>
    <x v="7"/>
    <s v="Gujarat"/>
    <x v="3"/>
    <s v="Accessories"/>
    <n v="1"/>
    <n v="0"/>
    <n v="1155.02"/>
    <n v="1155.02"/>
    <n v="362.27"/>
    <n v="792.75"/>
    <s v="Debit Card"/>
    <s v="DEBIT CARD"/>
  </r>
  <r>
    <s v="ORD10019"/>
    <x v="54"/>
    <s v="Akash Wagh"/>
    <s v="Akash Wagh"/>
    <x v="2"/>
    <s v="Maharashtra"/>
    <x v="6"/>
    <s v="Accessories"/>
    <n v="4"/>
    <n v="0"/>
    <n v="3499.04"/>
    <n v="13996.16"/>
    <n v="4704.4399999999996"/>
    <n v="9291.7199999999993"/>
    <s v="Credit Card"/>
    <s v="CREDIT CARD"/>
  </r>
  <r>
    <s v="ORD10149"/>
    <x v="54"/>
    <s v="Riya Shah"/>
    <s v="Riya Shah"/>
    <x v="4"/>
    <s v="Maharashtra"/>
    <x v="11"/>
    <s v="Accessories"/>
    <n v="2"/>
    <n v="0.05"/>
    <n v="1883.18"/>
    <n v="3578.04"/>
    <n v="1153.1400000000001"/>
    <n v="2424.9"/>
    <s v="Net Banking"/>
    <s v="NET BANKING"/>
  </r>
  <r>
    <s v="ORD10070"/>
    <x v="55"/>
    <s v="Akash Wagh"/>
    <s v="Akash Wagh"/>
    <x v="9"/>
    <s v="Madhya Pradesh"/>
    <x v="11"/>
    <s v="Accessories"/>
    <n v="3"/>
    <n v="0.05"/>
    <n v="1848.42"/>
    <n v="5268"/>
    <n v="1880.07"/>
    <n v="3387.93"/>
    <s v="Net Banking"/>
    <s v="NET BANKING"/>
  </r>
  <r>
    <s v="ORD10171"/>
    <x v="56"/>
    <s v="Swati Kale"/>
    <s v="Swati Kale"/>
    <x v="6"/>
    <s v="Telangana"/>
    <x v="5"/>
    <s v="Furniture"/>
    <n v="2"/>
    <n v="0.05"/>
    <n v="6170.05"/>
    <n v="11723.1"/>
    <n v="5056.12"/>
    <n v="6666.98"/>
    <s v="Cash"/>
    <s v="CASH"/>
  </r>
  <r>
    <s v="ORD10160"/>
    <x v="56"/>
    <s v="Neha Jadhav"/>
    <s v="Neha Jadhav"/>
    <x v="4"/>
    <s v="Maharashtra"/>
    <x v="8"/>
    <s v="Electronics"/>
    <n v="1"/>
    <n v="0.15"/>
    <n v="15250.08"/>
    <n v="12962.57"/>
    <n v="9208.14"/>
    <n v="3754.43"/>
    <s v="Debit Card"/>
    <s v="DEBIT CARD"/>
  </r>
  <r>
    <s v="ORD10373"/>
    <x v="56"/>
    <s v="Riya Shah"/>
    <s v="Riya Shah"/>
    <x v="0"/>
    <s v="Delhi"/>
    <x v="0"/>
    <s v="Electronics"/>
    <n v="4"/>
    <n v="0"/>
    <n v="12168.74"/>
    <n v="48674.96"/>
    <n v="26433.16"/>
    <n v="22241.8"/>
    <s v="Net Banking"/>
    <s v="NET BANKING"/>
  </r>
  <r>
    <s v="ORD10166"/>
    <x v="57"/>
    <s v="Vivek More"/>
    <s v="Vivek More"/>
    <x v="3"/>
    <s v="Maharashtra"/>
    <x v="4"/>
    <s v="Bags"/>
    <n v="1"/>
    <n v="0.15"/>
    <n v="1873.41"/>
    <n v="1592.4"/>
    <n v="715.7"/>
    <n v="876.7"/>
    <s v="UPI"/>
    <s v="UPI"/>
  </r>
  <r>
    <s v="ORD10465"/>
    <x v="57"/>
    <s v="Vivek More"/>
    <s v="Vivek More"/>
    <x v="6"/>
    <s v="Telangana"/>
    <x v="1"/>
    <s v="Furniture"/>
    <n v="5"/>
    <n v="0.15"/>
    <n v="9165.11"/>
    <n v="38951.72"/>
    <n v="22219.75"/>
    <n v="16731.97"/>
    <s v="Debit Card"/>
    <s v="DEBIT CARD"/>
  </r>
  <r>
    <s v="ORD10096"/>
    <x v="58"/>
    <s v="Riya Shah"/>
    <s v="Riya Shah"/>
    <x v="9"/>
    <s v="Madhya Pradesh"/>
    <x v="8"/>
    <s v="Electronics"/>
    <n v="3"/>
    <n v="0.05"/>
    <n v="16652.59"/>
    <n v="47459.88"/>
    <n v="26503.74"/>
    <n v="20956.14"/>
    <s v="Debit Card"/>
    <s v="DEBIT CARD"/>
  </r>
  <r>
    <s v="ORD10462"/>
    <x v="59"/>
    <s v="Sagar Mane"/>
    <s v="Sagar Mane"/>
    <x v="10"/>
    <s v="Karnataka"/>
    <x v="10"/>
    <s v="Electronics"/>
    <n v="4"/>
    <n v="0.05"/>
    <n v="18334.259999999998"/>
    <n v="69670.19"/>
    <n v="33312.68"/>
    <n v="36357.51"/>
    <s v="Net Banking"/>
    <s v="NET BANKING"/>
  </r>
  <r>
    <s v="ORD10432"/>
    <x v="60"/>
    <s v="Swati Kale"/>
    <s v="Swati Kale"/>
    <x v="5"/>
    <s v="Maharashtra"/>
    <x v="9"/>
    <s v="Furniture"/>
    <n v="2"/>
    <n v="0"/>
    <n v="7500.08"/>
    <n v="15000.16"/>
    <n v="6938.38"/>
    <n v="8061.78"/>
    <s v="Net Banking"/>
    <s v="NET BANKING"/>
  </r>
  <r>
    <s v="ORD10303"/>
    <x v="60"/>
    <s v="Sagar Mane"/>
    <s v="Sagar Mane"/>
    <x v="7"/>
    <s v="Gujarat"/>
    <x v="5"/>
    <s v="Furniture"/>
    <n v="2"/>
    <n v="0.1"/>
    <n v="5843.31"/>
    <n v="10517.96"/>
    <n v="4984.82"/>
    <n v="5533.14"/>
    <s v="UPI"/>
    <s v="UPI"/>
  </r>
  <r>
    <s v="ORD10377"/>
    <x v="61"/>
    <s v="Rohan Deshmukh"/>
    <s v="Rohan Deshmukh"/>
    <x v="4"/>
    <s v="Maharashtra"/>
    <x v="2"/>
    <s v="Electronics"/>
    <n v="1"/>
    <n v="0.1"/>
    <n v="51332.97"/>
    <n v="46199.67"/>
    <n v="41548.32"/>
    <n v="4651.3500000000004"/>
    <s v="Debit Card"/>
    <s v="DEBIT CARD"/>
  </r>
  <r>
    <s v="ORD10116"/>
    <x v="62"/>
    <s v="Meera Desai"/>
    <s v="Meera Desai"/>
    <x v="3"/>
    <s v="Maharashtra"/>
    <x v="11"/>
    <s v="Accessories"/>
    <n v="3"/>
    <n v="0.1"/>
    <n v="1810.21"/>
    <n v="4887.57"/>
    <n v="1839.75"/>
    <n v="3047.82"/>
    <s v="Debit Card"/>
    <s v="DEBIT CARD"/>
  </r>
  <r>
    <s v="ORD10046"/>
    <x v="62"/>
    <s v="Aarav Sharma"/>
    <s v="Aarav Sharma"/>
    <x v="3"/>
    <s v="Maharashtra"/>
    <x v="0"/>
    <s v="Electronics"/>
    <n v="5"/>
    <n v="0.1"/>
    <n v="11713.07"/>
    <n v="52708.82"/>
    <n v="30924.75"/>
    <n v="21784.07"/>
    <s v="UPI"/>
    <s v="UPI"/>
  </r>
  <r>
    <s v="ORD10441"/>
    <x v="62"/>
    <s v="Amit Verma"/>
    <s v="Amit Verma"/>
    <x v="0"/>
    <s v="Delhi"/>
    <x v="1"/>
    <s v="Furniture"/>
    <n v="4"/>
    <n v="0.05"/>
    <n v="9200.4599999999991"/>
    <n v="34961.75"/>
    <n v="18282.12"/>
    <n v="16679.63"/>
    <s v="Credit Card"/>
    <s v="CREDIT CARD"/>
  </r>
  <r>
    <s v="ORD10099"/>
    <x v="63"/>
    <s v="Aditya Joshi"/>
    <s v="Aditya Joshi"/>
    <x v="7"/>
    <s v="Gujarat"/>
    <x v="2"/>
    <s v="Electronics"/>
    <n v="4"/>
    <n v="0.05"/>
    <n v="52380.38"/>
    <n v="199045.44"/>
    <n v="176361.24"/>
    <n v="22684.2"/>
    <s v="Debit Card"/>
    <s v="DEBIT CARD"/>
  </r>
  <r>
    <s v="ORD10074"/>
    <x v="64"/>
    <s v="Riya Shah"/>
    <s v="Riya Shah"/>
    <x v="1"/>
    <s v="Maharashtra"/>
    <x v="10"/>
    <s v="Electronics"/>
    <n v="3"/>
    <n v="0.1"/>
    <n v="18211.07"/>
    <n v="49169.89"/>
    <n v="25153.11"/>
    <n v="24016.78"/>
    <s v="Debit Card"/>
    <s v="DEBIT CARD"/>
  </r>
  <r>
    <s v="ORD10315"/>
    <x v="65"/>
    <s v="Sagar Mane"/>
    <s v="Sagar Mane"/>
    <x v="8"/>
    <s v="Maharashtra"/>
    <x v="1"/>
    <s v="Furniture"/>
    <n v="1"/>
    <n v="0"/>
    <n v="8898.65"/>
    <n v="8898.65"/>
    <n v="4658.33"/>
    <n v="4240.32"/>
    <s v="UPI"/>
    <s v="UPI"/>
  </r>
  <r>
    <s v="ORD10227"/>
    <x v="65"/>
    <s v="Vivek More"/>
    <s v="Vivek More"/>
    <x v="7"/>
    <s v="Gujarat"/>
    <x v="7"/>
    <s v="Electronics"/>
    <n v="5"/>
    <n v="0.05"/>
    <n v="21554.18"/>
    <n v="102382.36"/>
    <n v="69512.350000000006"/>
    <n v="32870.01"/>
    <s v="Cash"/>
    <s v="CASH"/>
  </r>
  <r>
    <s v="ORD10158"/>
    <x v="65"/>
    <s v="Sagar Mane"/>
    <s v="Sagar Mane"/>
    <x v="8"/>
    <s v="Maharashtra"/>
    <x v="10"/>
    <s v="Electronics"/>
    <n v="2"/>
    <n v="0"/>
    <n v="17386.09"/>
    <n v="34772.18"/>
    <n v="15949.66"/>
    <n v="18822.52"/>
    <s v="UPI"/>
    <s v="UPI"/>
  </r>
  <r>
    <s v="ORD10353"/>
    <x v="66"/>
    <s v="Sagar Mane"/>
    <s v="Sagar Mane"/>
    <x v="10"/>
    <s v="Karnataka"/>
    <x v="6"/>
    <s v="Accessories"/>
    <n v="2"/>
    <n v="0"/>
    <n v="3555.07"/>
    <n v="7110.14"/>
    <n v="2393.34"/>
    <n v="4716.8"/>
    <s v="Net Banking"/>
    <s v="NET BANKING"/>
  </r>
  <r>
    <s v="ORD10391"/>
    <x v="67"/>
    <s v="Akash Wagh"/>
    <s v="Akash Wagh"/>
    <x v="4"/>
    <s v="Maharashtra"/>
    <x v="2"/>
    <s v="Electronics"/>
    <n v="4"/>
    <n v="0.1"/>
    <n v="52687.23"/>
    <n v="189674.03"/>
    <n v="161783"/>
    <n v="27891.03"/>
    <s v="UPI"/>
    <s v="UPI"/>
  </r>
  <r>
    <s v="ORD10196"/>
    <x v="67"/>
    <s v="Amit Verma"/>
    <s v="Amit Verma"/>
    <x v="3"/>
    <s v="Maharashtra"/>
    <x v="8"/>
    <s v="Electronics"/>
    <n v="4"/>
    <n v="0.05"/>
    <n v="16154.38"/>
    <n v="61386.64"/>
    <n v="36164.480000000003"/>
    <n v="25222.16"/>
    <s v="Debit Card"/>
    <s v="DEBIT CARD"/>
  </r>
  <r>
    <s v="ORD10039"/>
    <x v="68"/>
    <s v="Sneha Kulkarni"/>
    <s v="Sneha Kulkarni"/>
    <x v="4"/>
    <s v="Maharashtra"/>
    <x v="0"/>
    <s v="Electronics"/>
    <n v="3"/>
    <n v="0"/>
    <n v="12026.69"/>
    <n v="36080.07"/>
    <n v="20026.5"/>
    <n v="16053.57"/>
    <s v="Net Banking"/>
    <s v="NET BANKING"/>
  </r>
  <r>
    <s v="ORD10135"/>
    <x v="68"/>
    <s v="Akash Wagh"/>
    <s v="Akash Wagh"/>
    <x v="8"/>
    <s v="Maharashtra"/>
    <x v="9"/>
    <s v="Furniture"/>
    <n v="2"/>
    <n v="0"/>
    <n v="7721.51"/>
    <n v="15443.02"/>
    <n v="7171.54"/>
    <n v="8271.48"/>
    <s v="Debit Card"/>
    <s v="DEBIT CARD"/>
  </r>
  <r>
    <s v="ORD10250"/>
    <x v="69"/>
    <s v="Rohan Deshmukh"/>
    <s v="Rohan Deshmukh"/>
    <x v="3"/>
    <s v="Maharashtra"/>
    <x v="11"/>
    <s v="Accessories"/>
    <n v="2"/>
    <n v="0.05"/>
    <n v="1856.12"/>
    <n v="3526.63"/>
    <n v="1229"/>
    <n v="2297.63"/>
    <s v="Credit Card"/>
    <s v="CREDIT CARD"/>
  </r>
  <r>
    <s v="ORD10327"/>
    <x v="69"/>
    <s v="Kunal Thakur"/>
    <s v="Kunal Thakur"/>
    <x v="1"/>
    <s v="Maharashtra"/>
    <x v="7"/>
    <s v="Electronics"/>
    <n v="3"/>
    <n v="0"/>
    <n v="22621.25"/>
    <n v="67863.75"/>
    <n v="42985.23"/>
    <n v="24878.52"/>
    <s v="Net Banking"/>
    <s v="NET BANKING"/>
  </r>
  <r>
    <s v="ORD10358"/>
    <x v="69"/>
    <s v="Kavita Singh"/>
    <s v="Kavita Singh"/>
    <x v="2"/>
    <s v="Maharashtra"/>
    <x v="6"/>
    <s v="Accessories"/>
    <n v="2"/>
    <n v="0.05"/>
    <n v="3562.14"/>
    <n v="6768.07"/>
    <n v="2354.84"/>
    <n v="4413.2299999999996"/>
    <s v="Debit Card"/>
    <s v="DEBIT CARD"/>
  </r>
  <r>
    <s v="ORD10027"/>
    <x v="69"/>
    <s v="Isha Bhosale"/>
    <s v="Isha Bhosale"/>
    <x v="5"/>
    <s v="Maharashtra"/>
    <x v="6"/>
    <s v="Accessories"/>
    <n v="1"/>
    <n v="0.05"/>
    <n v="3354.45"/>
    <n v="3186.73"/>
    <n v="1159.4000000000001"/>
    <n v="2027.33"/>
    <s v="Debit Card"/>
    <s v="DEBIT CARD"/>
  </r>
  <r>
    <s v="ORD10075"/>
    <x v="70"/>
    <s v="Kunal Thakur"/>
    <s v="Kunal Thakur"/>
    <x v="6"/>
    <s v="Telangana"/>
    <x v="8"/>
    <s v="Electronics"/>
    <n v="2"/>
    <n v="0"/>
    <n v="16022.38"/>
    <n v="32044.76"/>
    <n v="18510.580000000002"/>
    <n v="13534.18"/>
    <s v="UPI"/>
    <s v="UPI"/>
  </r>
  <r>
    <s v="ORD10169"/>
    <x v="70"/>
    <s v="Kavita Singh"/>
    <s v="Kavita Singh"/>
    <x v="1"/>
    <s v="Maharashtra"/>
    <x v="3"/>
    <s v="Accessories"/>
    <n v="2"/>
    <n v="0.15"/>
    <n v="1164.0999999999999"/>
    <n v="1978.97"/>
    <n v="713.52"/>
    <n v="1265.45"/>
    <s v="UPI"/>
    <s v="UPI"/>
  </r>
  <r>
    <s v="ORD10474"/>
    <x v="70"/>
    <s v="Nikhil Gupta"/>
    <s v="Nikhil Gupta"/>
    <x v="2"/>
    <s v="Maharashtra"/>
    <x v="3"/>
    <s v="Accessories"/>
    <n v="5"/>
    <n v="0"/>
    <n v="1205.67"/>
    <n v="6028.35"/>
    <n v="1836.05"/>
    <n v="4192.3"/>
    <s v="Net Banking"/>
    <s v="NET BANKING"/>
  </r>
  <r>
    <s v="ORD10473"/>
    <x v="70"/>
    <s v="Priya Patil"/>
    <s v="Priya Patil"/>
    <x v="6"/>
    <s v="Telangana"/>
    <x v="1"/>
    <s v="Furniture"/>
    <n v="1"/>
    <n v="0"/>
    <n v="9435.81"/>
    <n v="9435.81"/>
    <n v="4453.07"/>
    <n v="4982.74"/>
    <s v="UPI"/>
    <s v="UPI"/>
  </r>
  <r>
    <s v="ORD10249"/>
    <x v="71"/>
    <s v="Nikhil Gupta"/>
    <s v="Nikhil Gupta"/>
    <x v="6"/>
    <s v="Telangana"/>
    <x v="2"/>
    <s v="Electronics"/>
    <n v="3"/>
    <n v="0"/>
    <n v="52338.11"/>
    <n v="157014.32999999999"/>
    <n v="128379.96"/>
    <n v="28634.37"/>
    <s v="UPI"/>
    <s v="UPI"/>
  </r>
  <r>
    <s v="ORD10137"/>
    <x v="71"/>
    <s v="Priya Patil"/>
    <s v="Priya Patil"/>
    <x v="9"/>
    <s v="Madhya Pradesh"/>
    <x v="6"/>
    <s v="Accessories"/>
    <n v="5"/>
    <n v="0.05"/>
    <n v="3583.25"/>
    <n v="17020.439999999999"/>
    <n v="6012.1"/>
    <n v="11008.34"/>
    <s v="Debit Card"/>
    <s v="DEBIT CARD"/>
  </r>
  <r>
    <s v="ORD10207"/>
    <x v="71"/>
    <s v="Priya Patil"/>
    <s v="Priya Patil"/>
    <x v="3"/>
    <s v="Maharashtra"/>
    <x v="6"/>
    <s v="Accessories"/>
    <n v="2"/>
    <n v="0.05"/>
    <n v="3530.31"/>
    <n v="6707.59"/>
    <n v="2320.3200000000002"/>
    <n v="4387.2700000000004"/>
    <s v="UPI"/>
    <s v="UPI"/>
  </r>
  <r>
    <s v="ORD10257"/>
    <x v="72"/>
    <s v="Kavita Singh"/>
    <s v="Kavita Singh"/>
    <x v="10"/>
    <s v="Karnataka"/>
    <x v="5"/>
    <s v="Furniture"/>
    <n v="4"/>
    <n v="0"/>
    <n v="6081.89"/>
    <n v="24327.56"/>
    <n v="9649"/>
    <n v="14678.56"/>
    <s v="Credit Card"/>
    <s v="CREDIT CARD"/>
  </r>
  <r>
    <s v="ORD10223"/>
    <x v="73"/>
    <s v="Swati Kale"/>
    <s v="Swati Kale"/>
    <x v="2"/>
    <s v="Maharashtra"/>
    <x v="7"/>
    <s v="Electronics"/>
    <n v="1"/>
    <n v="0.05"/>
    <n v="21590.2"/>
    <n v="20510.689999999999"/>
    <n v="14148.92"/>
    <n v="6361.77"/>
    <s v="Net Banking"/>
    <s v="NET BANKING"/>
  </r>
  <r>
    <s v="ORD10448"/>
    <x v="73"/>
    <s v="Sagar Mane"/>
    <s v="Sagar Mane"/>
    <x v="4"/>
    <s v="Maharashtra"/>
    <x v="8"/>
    <s v="Electronics"/>
    <n v="3"/>
    <n v="0.05"/>
    <n v="15719.22"/>
    <n v="44799.78"/>
    <n v="26377.68"/>
    <n v="18422.099999999999"/>
    <s v="Debit Card"/>
    <s v="DEBIT CARD"/>
  </r>
  <r>
    <s v="ORD10104"/>
    <x v="74"/>
    <s v="Pooja Shinde"/>
    <s v="Pooja Shinde"/>
    <x v="2"/>
    <s v="Maharashtra"/>
    <x v="10"/>
    <s v="Electronics"/>
    <n v="4"/>
    <n v="0.1"/>
    <n v="17350.41"/>
    <n v="62461.48"/>
    <n v="30722.560000000001"/>
    <n v="31738.92"/>
    <s v="Cash"/>
    <s v="CASH"/>
  </r>
  <r>
    <s v="ORD10127"/>
    <x v="74"/>
    <s v="Aditya Joshi"/>
    <s v="Aditya Joshi"/>
    <x v="6"/>
    <s v="Telangana"/>
    <x v="6"/>
    <s v="Accessories"/>
    <n v="1"/>
    <n v="0.05"/>
    <n v="3538.64"/>
    <n v="3361.71"/>
    <n v="1253.92"/>
    <n v="2107.79"/>
    <s v="UPI"/>
    <s v="UPI"/>
  </r>
  <r>
    <s v="ORD10085"/>
    <x v="74"/>
    <s v="Priya Patil"/>
    <s v="Priya Patil"/>
    <x v="8"/>
    <s v="Maharashtra"/>
    <x v="4"/>
    <s v="Bags"/>
    <n v="4"/>
    <n v="0"/>
    <n v="1826.79"/>
    <n v="7307.16"/>
    <n v="2794.28"/>
    <n v="4512.88"/>
    <s v="UPI"/>
    <s v="UPI"/>
  </r>
  <r>
    <s v="ORD10461"/>
    <x v="75"/>
    <s v="Aarav Sharma"/>
    <s v="Aarav Sharma"/>
    <x v="1"/>
    <s v="Maharashtra"/>
    <x v="2"/>
    <s v="Electronics"/>
    <n v="4"/>
    <n v="0"/>
    <n v="52414.58"/>
    <n v="209658.32"/>
    <n v="167208.92000000001"/>
    <n v="42449.4"/>
    <s v="Debit Card"/>
    <s v="DEBIT CARD"/>
  </r>
  <r>
    <s v="ORD10485"/>
    <x v="75"/>
    <s v="Akash Wagh"/>
    <s v="Akash Wagh"/>
    <x v="4"/>
    <s v="Maharashtra"/>
    <x v="7"/>
    <s v="Electronics"/>
    <n v="5"/>
    <n v="0.05"/>
    <n v="21946.51"/>
    <n v="104245.92"/>
    <n v="71220.800000000003"/>
    <n v="33025.120000000003"/>
    <s v="Debit Card"/>
    <s v="DEBIT CARD"/>
  </r>
  <r>
    <s v="ORD10320"/>
    <x v="76"/>
    <s v="Sagar Mane"/>
    <s v="Sagar Mane"/>
    <x v="8"/>
    <s v="Maharashtra"/>
    <x v="9"/>
    <s v="Furniture"/>
    <n v="2"/>
    <n v="0.1"/>
    <n v="7560.17"/>
    <n v="13608.31"/>
    <n v="7041.78"/>
    <n v="6566.53"/>
    <s v="Credit Card"/>
    <s v="CREDIT CARD"/>
  </r>
  <r>
    <s v="ORD10261"/>
    <x v="76"/>
    <s v="Sagar Mane"/>
    <s v="Sagar Mane"/>
    <x v="0"/>
    <s v="Delhi"/>
    <x v="11"/>
    <s v="Accessories"/>
    <n v="1"/>
    <n v="0.05"/>
    <n v="1886.34"/>
    <n v="1792.02"/>
    <n v="579.91999999999996"/>
    <n v="1212.0999999999999"/>
    <s v="UPI"/>
    <s v="UPI"/>
  </r>
  <r>
    <s v="ORD10113"/>
    <x v="76"/>
    <s v="Riya Shah"/>
    <s v="Riya Shah"/>
    <x v="1"/>
    <s v="Maharashtra"/>
    <x v="9"/>
    <s v="Furniture"/>
    <n v="3"/>
    <n v="0"/>
    <n v="7706.65"/>
    <n v="23119.95"/>
    <n v="10450.950000000001"/>
    <n v="12669"/>
    <s v="Debit Card"/>
    <s v="DEBIT CARD"/>
  </r>
  <r>
    <s v="ORD10244"/>
    <x v="77"/>
    <s v="Isha Bhosale"/>
    <s v="Isha Bhosale"/>
    <x v="9"/>
    <s v="Madhya Pradesh"/>
    <x v="9"/>
    <s v="Furniture"/>
    <n v="2"/>
    <n v="0"/>
    <n v="7404.13"/>
    <n v="14808.26"/>
    <n v="6952.46"/>
    <n v="7855.8"/>
    <s v="Cash"/>
    <s v="CASH"/>
  </r>
  <r>
    <s v="ORD10290"/>
    <x v="78"/>
    <s v="Aarav Sharma"/>
    <s v="Aarav Sharma"/>
    <x v="1"/>
    <s v="Maharashtra"/>
    <x v="6"/>
    <s v="Accessories"/>
    <n v="4"/>
    <n v="0"/>
    <n v="3607.59"/>
    <n v="14430.36"/>
    <n v="4588.3599999999997"/>
    <n v="9842"/>
    <s v="Debit Card"/>
    <s v="DEBIT CARD"/>
  </r>
  <r>
    <s v="ORD10382"/>
    <x v="79"/>
    <s v="Sagar Mane"/>
    <s v="Sagar Mane"/>
    <x v="1"/>
    <s v="Maharashtra"/>
    <x v="9"/>
    <s v="Furniture"/>
    <n v="5"/>
    <n v="0"/>
    <n v="7710.27"/>
    <n v="38551.35"/>
    <n v="17458.599999999999"/>
    <n v="21092.75"/>
    <s v="Net Banking"/>
    <s v="NET BANKING"/>
  </r>
  <r>
    <s v="ORD10275"/>
    <x v="79"/>
    <s v="Meera Desai"/>
    <s v="Meera Desai"/>
    <x v="5"/>
    <s v="Maharashtra"/>
    <x v="6"/>
    <s v="Accessories"/>
    <n v="4"/>
    <n v="0.05"/>
    <n v="3396.71"/>
    <n v="12907.5"/>
    <n v="4981.3599999999997"/>
    <n v="7926.14"/>
    <s v="Debit Card"/>
    <s v="DEBIT CARD"/>
  </r>
  <r>
    <s v="ORD10464"/>
    <x v="79"/>
    <s v="Swati Kale"/>
    <s v="Swati Kale"/>
    <x v="8"/>
    <s v="Maharashtra"/>
    <x v="3"/>
    <s v="Accessories"/>
    <n v="4"/>
    <n v="0"/>
    <n v="1190.8"/>
    <n v="4763.2"/>
    <n v="1341.84"/>
    <n v="3421.36"/>
    <s v="Debit Card"/>
    <s v="DEBIT CARD"/>
  </r>
  <r>
    <s v="ORD10289"/>
    <x v="80"/>
    <s v="Meera Desai"/>
    <s v="Meera Desai"/>
    <x v="7"/>
    <s v="Gujarat"/>
    <x v="0"/>
    <s v="Electronics"/>
    <n v="1"/>
    <n v="0"/>
    <n v="11832.45"/>
    <n v="11832.45"/>
    <n v="6219.53"/>
    <n v="5612.92"/>
    <s v="Cash"/>
    <s v="CASH"/>
  </r>
  <r>
    <s v="ORD10270"/>
    <x v="80"/>
    <s v="Sneha Kulkarni"/>
    <s v="Sneha Kulkarni"/>
    <x v="1"/>
    <s v="Maharashtra"/>
    <x v="4"/>
    <s v="Bags"/>
    <n v="5"/>
    <n v="0.05"/>
    <n v="1772.91"/>
    <n v="8421.32"/>
    <n v="3364.95"/>
    <n v="5056.37"/>
    <s v="Credit Card"/>
    <s v="CREDIT CARD"/>
  </r>
  <r>
    <s v="ORD10204"/>
    <x v="81"/>
    <s v="Vivek More"/>
    <s v="Vivek More"/>
    <x v="6"/>
    <s v="Telangana"/>
    <x v="3"/>
    <s v="Accessories"/>
    <n v="1"/>
    <n v="0"/>
    <n v="1203.18"/>
    <n v="1203.18"/>
    <n v="336.43"/>
    <n v="866.75"/>
    <s v="Credit Card"/>
    <s v="CREDIT CARD"/>
  </r>
  <r>
    <s v="ORD10341"/>
    <x v="81"/>
    <s v="Rahul Pawar"/>
    <s v="Rahul Pawar"/>
    <x v="0"/>
    <s v="Delhi"/>
    <x v="7"/>
    <s v="Electronics"/>
    <n v="3"/>
    <n v="0.1"/>
    <n v="22944.3"/>
    <n v="61949.61"/>
    <n v="41601.42"/>
    <n v="20348.189999999999"/>
    <s v="Net Banking"/>
    <s v="NET BANKING"/>
  </r>
  <r>
    <s v="ORD10259"/>
    <x v="81"/>
    <s v="Sagar Mane"/>
    <s v="Sagar Mane"/>
    <x v="7"/>
    <s v="Gujarat"/>
    <x v="7"/>
    <s v="Electronics"/>
    <n v="4"/>
    <n v="0"/>
    <n v="22663.01"/>
    <n v="90652.04"/>
    <n v="57492.88"/>
    <n v="33159.160000000003"/>
    <s v="UPI"/>
    <s v="UPI"/>
  </r>
  <r>
    <s v="ORD10182"/>
    <x v="81"/>
    <s v="Meera Desai"/>
    <s v="Meera Desai"/>
    <x v="3"/>
    <s v="Maharashtra"/>
    <x v="9"/>
    <s v="Furniture"/>
    <n v="4"/>
    <n v="0.15"/>
    <n v="7465.34"/>
    <n v="25382.16"/>
    <n v="13630.48"/>
    <n v="11751.68"/>
    <s v="Credit Card"/>
    <s v="CREDIT CARD"/>
  </r>
  <r>
    <s v="ORD10184"/>
    <x v="82"/>
    <s v="Kavita Singh"/>
    <s v="Kavita Singh"/>
    <x v="2"/>
    <s v="Maharashtra"/>
    <x v="4"/>
    <s v="Bags"/>
    <n v="3"/>
    <n v="0.05"/>
    <n v="1829.48"/>
    <n v="5214.0200000000004"/>
    <n v="2094.66"/>
    <n v="3119.36"/>
    <s v="Cash"/>
    <s v="CASH"/>
  </r>
  <r>
    <s v="ORD10296"/>
    <x v="82"/>
    <s v="Swati Kale"/>
    <s v="Swati Kale"/>
    <x v="5"/>
    <s v="Maharashtra"/>
    <x v="10"/>
    <s v="Electronics"/>
    <n v="4"/>
    <n v="0.1"/>
    <n v="18679.07"/>
    <n v="67244.649999999994"/>
    <n v="31457.32"/>
    <n v="35787.33"/>
    <s v="Net Banking"/>
    <s v="NET BANKING"/>
  </r>
  <r>
    <s v="ORD10347"/>
    <x v="83"/>
    <s v="Aarav Sharma"/>
    <s v="Aarav Sharma"/>
    <x v="0"/>
    <s v="Delhi"/>
    <x v="1"/>
    <s v="Furniture"/>
    <n v="2"/>
    <n v="0.05"/>
    <n v="8856.33"/>
    <n v="16827.03"/>
    <n v="9396.4"/>
    <n v="7430.63"/>
    <s v="Debit Card"/>
    <s v="DEBIT CARD"/>
  </r>
  <r>
    <s v="ORD10245"/>
    <x v="84"/>
    <s v="Rahul Pawar"/>
    <s v="Rahul Pawar"/>
    <x v="3"/>
    <s v="Maharashtra"/>
    <x v="11"/>
    <s v="Accessories"/>
    <n v="4"/>
    <n v="0"/>
    <n v="1869.65"/>
    <n v="7478.6"/>
    <n v="2435"/>
    <n v="5043.6000000000004"/>
    <s v="UPI"/>
    <s v="UPI"/>
  </r>
  <r>
    <s v="ORD10001"/>
    <x v="84"/>
    <s v="Kunal Thakur"/>
    <s v="Kunal Thakur"/>
    <x v="6"/>
    <s v="Telangana"/>
    <x v="1"/>
    <s v="Furniture"/>
    <n v="4"/>
    <n v="0.15"/>
    <n v="9208.7900000000009"/>
    <n v="31309.89"/>
    <n v="18177.599999999999"/>
    <n v="13132.29"/>
    <s v="Debit Card"/>
    <s v="DEBIT CARD"/>
  </r>
  <r>
    <s v="ORD10339"/>
    <x v="85"/>
    <s v="Neha Jadhav"/>
    <s v="Neha Jadhav"/>
    <x v="3"/>
    <s v="Maharashtra"/>
    <x v="9"/>
    <s v="Furniture"/>
    <n v="3"/>
    <n v="0.05"/>
    <n v="7557.78"/>
    <n v="21539.67"/>
    <n v="10707.63"/>
    <n v="10832.04"/>
    <s v="Credit Card"/>
    <s v="CREDIT CARD"/>
  </r>
  <r>
    <s v="ORD10406"/>
    <x v="86"/>
    <s v="Anjali Chavan"/>
    <s v="Anjali Chavan"/>
    <x v="1"/>
    <s v="Maharashtra"/>
    <x v="1"/>
    <s v="Furniture"/>
    <n v="3"/>
    <n v="0.05"/>
    <n v="9015.11"/>
    <n v="25693.06"/>
    <n v="13824.21"/>
    <n v="11868.85"/>
    <s v="Credit Card"/>
    <s v="CREDIT CARD"/>
  </r>
  <r>
    <s v="ORD10148"/>
    <x v="86"/>
    <s v="Nikhil Gupta"/>
    <s v="Nikhil Gupta"/>
    <x v="1"/>
    <s v="Maharashtra"/>
    <x v="0"/>
    <s v="Electronics"/>
    <n v="1"/>
    <n v="0"/>
    <n v="12517.91"/>
    <n v="12517.91"/>
    <n v="6652.89"/>
    <n v="5865.02"/>
    <s v="Debit Card"/>
    <s v="DEBIT CARD"/>
  </r>
  <r>
    <s v="ORD10322"/>
    <x v="87"/>
    <s v="Aditya Joshi"/>
    <s v="Aditya Joshi"/>
    <x v="9"/>
    <s v="Madhya Pradesh"/>
    <x v="7"/>
    <s v="Electronics"/>
    <n v="3"/>
    <n v="0"/>
    <n v="21973.27"/>
    <n v="65919.81"/>
    <n v="40446.21"/>
    <n v="25473.599999999999"/>
    <s v="Credit Card"/>
    <s v="CREDIT CARD"/>
  </r>
  <r>
    <s v="ORD10326"/>
    <x v="87"/>
    <s v="Rohan Deshmukh"/>
    <s v="Rohan Deshmukh"/>
    <x v="10"/>
    <s v="Karnataka"/>
    <x v="5"/>
    <s v="Furniture"/>
    <n v="5"/>
    <n v="0.15"/>
    <n v="6034.63"/>
    <n v="25647.18"/>
    <n v="12309.1"/>
    <n v="13338.08"/>
    <s v="Net Banking"/>
    <s v="NET BANKING"/>
  </r>
  <r>
    <s v="ORD10178"/>
    <x v="87"/>
    <s v="Kavita Singh"/>
    <s v="Kavita Singh"/>
    <x v="5"/>
    <s v="Maharashtra"/>
    <x v="7"/>
    <s v="Electronics"/>
    <n v="4"/>
    <n v="0"/>
    <n v="21509.02"/>
    <n v="86036.08"/>
    <n v="56517.16"/>
    <n v="29518.92"/>
    <s v="Debit Card"/>
    <s v="DEBIT CARD"/>
  </r>
  <r>
    <s v="ORD10470"/>
    <x v="87"/>
    <s v="Sagar Mane"/>
    <s v="Sagar Mane"/>
    <x v="2"/>
    <s v="Maharashtra"/>
    <x v="9"/>
    <s v="Furniture"/>
    <n v="5"/>
    <n v="0"/>
    <n v="7222.26"/>
    <n v="36111.300000000003"/>
    <n v="17073.8"/>
    <n v="19037.5"/>
    <s v="Cash"/>
    <s v="CASH"/>
  </r>
  <r>
    <s v="ORD10263"/>
    <x v="88"/>
    <s v="Rahul Pawar"/>
    <s v="Rahul Pawar"/>
    <x v="8"/>
    <s v="Maharashtra"/>
    <x v="2"/>
    <s v="Electronics"/>
    <n v="5"/>
    <n v="0.05"/>
    <n v="51911.44"/>
    <n v="246579.34"/>
    <n v="202303.1"/>
    <n v="44276.24"/>
    <s v="Credit Card"/>
    <s v="CREDIT CARD"/>
  </r>
  <r>
    <s v="ORD10020"/>
    <x v="88"/>
    <s v="Priya Patil"/>
    <s v="Priya Patil"/>
    <x v="3"/>
    <s v="Maharashtra"/>
    <x v="7"/>
    <s v="Electronics"/>
    <n v="4"/>
    <n v="0"/>
    <n v="21513.02"/>
    <n v="86052.08"/>
    <n v="58286.28"/>
    <n v="27765.8"/>
    <s v="Net Banking"/>
    <s v="NET BANKING"/>
  </r>
  <r>
    <s v="ORD10413"/>
    <x v="89"/>
    <s v="Nikhil Gupta"/>
    <s v="Nikhil Gupta"/>
    <x v="4"/>
    <s v="Maharashtra"/>
    <x v="0"/>
    <s v="Electronics"/>
    <n v="2"/>
    <n v="0.05"/>
    <n v="11792.45"/>
    <n v="22405.66"/>
    <n v="13507.08"/>
    <n v="8898.58"/>
    <s v="Cash"/>
    <s v="CASH"/>
  </r>
  <r>
    <s v="ORD10403"/>
    <x v="90"/>
    <s v="Isha Bhosale"/>
    <s v="Isha Bhosale"/>
    <x v="6"/>
    <s v="Telangana"/>
    <x v="2"/>
    <s v="Electronics"/>
    <n v="5"/>
    <n v="0.1"/>
    <n v="53214.13"/>
    <n v="239463.58"/>
    <n v="201940"/>
    <n v="37523.58"/>
    <s v="Net Banking"/>
    <s v="NET BANKING"/>
  </r>
  <r>
    <s v="ORD10056"/>
    <x v="91"/>
    <s v="Rohan Deshmukh"/>
    <s v="Rohan Deshmukh"/>
    <x v="9"/>
    <s v="Madhya Pradesh"/>
    <x v="1"/>
    <s v="Furniture"/>
    <n v="5"/>
    <n v="0.1"/>
    <n v="9426.82"/>
    <n v="42420.69"/>
    <n v="23615.85"/>
    <n v="18804.84"/>
    <s v="Net Banking"/>
    <s v="NET BANKING"/>
  </r>
  <r>
    <s v="ORD10238"/>
    <x v="91"/>
    <s v="Isha Bhosale"/>
    <s v="Isha Bhosale"/>
    <x v="2"/>
    <s v="Maharashtra"/>
    <x v="1"/>
    <s v="Furniture"/>
    <n v="3"/>
    <n v="0.05"/>
    <n v="9271.92"/>
    <n v="26424.97"/>
    <n v="12967.26"/>
    <n v="13457.71"/>
    <s v="Net Banking"/>
    <s v="NET BANKING"/>
  </r>
  <r>
    <s v="ORD10359"/>
    <x v="92"/>
    <s v="Rahul Pawar"/>
    <s v="Rahul Pawar"/>
    <x v="4"/>
    <s v="Maharashtra"/>
    <x v="3"/>
    <s v="Accessories"/>
    <n v="5"/>
    <n v="0"/>
    <n v="1185.9100000000001"/>
    <n v="5929.55"/>
    <n v="1726.85"/>
    <n v="4202.7"/>
    <s v="Net Banking"/>
    <s v="NET BANKING"/>
  </r>
  <r>
    <s v="ORD10408"/>
    <x v="92"/>
    <s v="Nikhil Gupta"/>
    <s v="Nikhil Gupta"/>
    <x v="3"/>
    <s v="Maharashtra"/>
    <x v="6"/>
    <s v="Accessories"/>
    <n v="3"/>
    <n v="0.05"/>
    <n v="3418.59"/>
    <n v="9742.98"/>
    <n v="3425.43"/>
    <n v="6317.55"/>
    <s v="Debit Card"/>
    <s v="DEBIT CARD"/>
  </r>
  <r>
    <s v="ORD10015"/>
    <x v="92"/>
    <s v="Kavita Singh"/>
    <s v="Kavita Singh"/>
    <x v="7"/>
    <s v="Gujarat"/>
    <x v="1"/>
    <s v="Furniture"/>
    <n v="3"/>
    <n v="0.05"/>
    <n v="9342.42"/>
    <n v="26625.9"/>
    <n v="13667.88"/>
    <n v="12958.02"/>
    <s v="Cash"/>
    <s v="CASH"/>
  </r>
  <r>
    <s v="ORD10029"/>
    <x v="93"/>
    <s v="Rohan Deshmukh"/>
    <s v="Rohan Deshmukh"/>
    <x v="8"/>
    <s v="Maharashtra"/>
    <x v="4"/>
    <s v="Bags"/>
    <n v="4"/>
    <n v="0.05"/>
    <n v="1752.7"/>
    <n v="6660.26"/>
    <n v="2751.12"/>
    <n v="3909.14"/>
    <s v="UPI"/>
    <s v="UPI"/>
  </r>
  <r>
    <s v="ORD10360"/>
    <x v="93"/>
    <s v="Sneha Kulkarni"/>
    <s v="Sneha Kulkarni"/>
    <x v="0"/>
    <s v="Delhi"/>
    <x v="4"/>
    <s v="Bags"/>
    <n v="1"/>
    <n v="0.05"/>
    <n v="1750.19"/>
    <n v="1662.68"/>
    <n v="709.93"/>
    <n v="952.75"/>
    <s v="Debit Card"/>
    <s v="DEBIT CARD"/>
  </r>
  <r>
    <s v="ORD10215"/>
    <x v="94"/>
    <s v="Isha Bhosale"/>
    <s v="Isha Bhosale"/>
    <x v="2"/>
    <s v="Maharashtra"/>
    <x v="4"/>
    <s v="Bags"/>
    <n v="2"/>
    <n v="0"/>
    <n v="1791.07"/>
    <n v="3582.14"/>
    <n v="1435.86"/>
    <n v="2146.2800000000002"/>
    <s v="Debit Card"/>
    <s v="DEBIT CARD"/>
  </r>
  <r>
    <s v="ORD10201"/>
    <x v="94"/>
    <s v="Swati Kale"/>
    <s v="Swati Kale"/>
    <x v="3"/>
    <s v="Maharashtra"/>
    <x v="6"/>
    <s v="Accessories"/>
    <n v="5"/>
    <n v="0"/>
    <n v="3432.55"/>
    <n v="17162.75"/>
    <n v="6181.8"/>
    <n v="10980.95"/>
    <s v="Credit Card"/>
    <s v="CREDIT CARD"/>
  </r>
  <r>
    <s v="ORD10442"/>
    <x v="94"/>
    <s v="Vivek More"/>
    <s v="Vivek More"/>
    <x v="7"/>
    <s v="Gujarat"/>
    <x v="2"/>
    <s v="Electronics"/>
    <n v="1"/>
    <n v="0"/>
    <n v="53583.37"/>
    <n v="53583.37"/>
    <n v="43145.8"/>
    <n v="10437.57"/>
    <s v="Credit Card"/>
    <s v="CREDIT CARD"/>
  </r>
  <r>
    <s v="ORD10190"/>
    <x v="94"/>
    <s v="Nikhil Gupta"/>
    <s v="Nikhil Gupta"/>
    <x v="9"/>
    <s v="Madhya Pradesh"/>
    <x v="2"/>
    <s v="Electronics"/>
    <n v="2"/>
    <n v="0"/>
    <n v="49491.08"/>
    <n v="98982.16"/>
    <n v="81850.84"/>
    <n v="17131.32"/>
    <s v="UPI"/>
    <s v="UPI"/>
  </r>
  <r>
    <s v="ORD10092"/>
    <x v="95"/>
    <s v="Kavita Singh"/>
    <s v="Kavita Singh"/>
    <x v="6"/>
    <s v="Telangana"/>
    <x v="10"/>
    <s v="Electronics"/>
    <n v="3"/>
    <n v="0"/>
    <n v="17705.89"/>
    <n v="53117.67"/>
    <n v="23122.59"/>
    <n v="29995.08"/>
    <s v="Credit Card"/>
    <s v="CREDIT CARD"/>
  </r>
  <r>
    <s v="ORD10386"/>
    <x v="95"/>
    <s v="Pooja Shinde"/>
    <s v="Pooja Shinde"/>
    <x v="7"/>
    <s v="Gujarat"/>
    <x v="4"/>
    <s v="Bags"/>
    <n v="1"/>
    <n v="0.05"/>
    <n v="1721.04"/>
    <n v="1634.99"/>
    <n v="690.35"/>
    <n v="944.64"/>
    <s v="Net Banking"/>
    <s v="NET BANKING"/>
  </r>
  <r>
    <s v="ORD10390"/>
    <x v="96"/>
    <s v="Anjali Chavan"/>
    <s v="Anjali Chavan"/>
    <x v="7"/>
    <s v="Gujarat"/>
    <x v="1"/>
    <s v="Furniture"/>
    <n v="2"/>
    <n v="0.05"/>
    <n v="8700.59"/>
    <n v="16531.12"/>
    <n v="9252.56"/>
    <n v="7278.56"/>
    <s v="UPI"/>
    <s v="UPI"/>
  </r>
  <r>
    <s v="ORD10421"/>
    <x v="96"/>
    <s v="Sagar Mane"/>
    <s v="Sagar Mane"/>
    <x v="5"/>
    <s v="Maharashtra"/>
    <x v="5"/>
    <s v="Furniture"/>
    <n v="3"/>
    <n v="0.1"/>
    <n v="5738.4"/>
    <n v="15493.68"/>
    <n v="7743.57"/>
    <n v="7750.11"/>
    <s v="Cash"/>
    <s v="CASH"/>
  </r>
  <r>
    <s v="ORD10488"/>
    <x v="96"/>
    <s v="Rahul Pawar"/>
    <s v="Rahul Pawar"/>
    <x v="3"/>
    <s v="Maharashtra"/>
    <x v="4"/>
    <s v="Bags"/>
    <n v="3"/>
    <n v="0"/>
    <n v="1778.36"/>
    <n v="5335.08"/>
    <n v="2163.3000000000002"/>
    <n v="3171.78"/>
    <s v="Debit Card"/>
    <s v="DEBIT CARD"/>
  </r>
  <r>
    <s v="ORD10348"/>
    <x v="97"/>
    <s v="Kunal Thakur"/>
    <s v="Kunal Thakur"/>
    <x v="3"/>
    <s v="Maharashtra"/>
    <x v="8"/>
    <s v="Electronics"/>
    <n v="1"/>
    <n v="0.1"/>
    <n v="15701.36"/>
    <n v="14131.22"/>
    <n v="9260.0400000000009"/>
    <n v="4871.18"/>
    <s v="UPI"/>
    <s v="UPI"/>
  </r>
  <r>
    <s v="ORD10037"/>
    <x v="98"/>
    <s v="Priya Patil"/>
    <s v="Priya Patil"/>
    <x v="3"/>
    <s v="Maharashtra"/>
    <x v="6"/>
    <s v="Accessories"/>
    <n v="1"/>
    <n v="0"/>
    <n v="3463.87"/>
    <n v="3463.87"/>
    <n v="1146.0899999999999"/>
    <n v="2317.7800000000002"/>
    <s v="Credit Card"/>
    <s v="CREDIT CARD"/>
  </r>
  <r>
    <s v="ORD10363"/>
    <x v="98"/>
    <s v="Vivek More"/>
    <s v="Vivek More"/>
    <x v="0"/>
    <s v="Delhi"/>
    <x v="9"/>
    <s v="Furniture"/>
    <n v="1"/>
    <n v="0"/>
    <n v="7523.05"/>
    <n v="7523.05"/>
    <n v="3552.84"/>
    <n v="3970.21"/>
    <s v="UPI"/>
    <s v="UPI"/>
  </r>
  <r>
    <s v="ORD10084"/>
    <x v="99"/>
    <s v="Sagar Mane"/>
    <s v="Sagar Mane"/>
    <x v="7"/>
    <s v="Gujarat"/>
    <x v="0"/>
    <s v="Electronics"/>
    <n v="1"/>
    <n v="0.1"/>
    <n v="11507.05"/>
    <n v="10356.34"/>
    <n v="6522.97"/>
    <n v="3833.37"/>
    <s v="Cash"/>
    <s v="CASH"/>
  </r>
  <r>
    <s v="ORD10162"/>
    <x v="99"/>
    <s v="Pooja Shinde"/>
    <s v="Pooja Shinde"/>
    <x v="7"/>
    <s v="Gujarat"/>
    <x v="9"/>
    <s v="Furniture"/>
    <n v="4"/>
    <n v="0.05"/>
    <n v="7478.65"/>
    <n v="28418.87"/>
    <n v="14060.52"/>
    <n v="14358.35"/>
    <s v="Debit Card"/>
    <s v="DEBIT CARD"/>
  </r>
  <r>
    <s v="ORD10225"/>
    <x v="100"/>
    <s v="Neha Jadhav"/>
    <s v="Neha Jadhav"/>
    <x v="8"/>
    <s v="Maharashtra"/>
    <x v="5"/>
    <s v="Furniture"/>
    <n v="4"/>
    <n v="0.15"/>
    <n v="5959.5"/>
    <n v="20262.3"/>
    <n v="9811.7999999999993"/>
    <n v="10450.5"/>
    <s v="Net Banking"/>
    <s v="NET BANKING"/>
  </r>
  <r>
    <s v="ORD10310"/>
    <x v="101"/>
    <s v="Nikhil Gupta"/>
    <s v="Nikhil Gupta"/>
    <x v="1"/>
    <s v="Maharashtra"/>
    <x v="7"/>
    <s v="Electronics"/>
    <n v="2"/>
    <n v="0"/>
    <n v="21744.45"/>
    <n v="43488.9"/>
    <n v="27877.46"/>
    <n v="15611.44"/>
    <s v="Cash"/>
    <s v="CASH"/>
  </r>
  <r>
    <s v="ORD10173"/>
    <x v="101"/>
    <s v="Meera Desai"/>
    <s v="Meera Desai"/>
    <x v="9"/>
    <s v="Madhya Pradesh"/>
    <x v="3"/>
    <s v="Accessories"/>
    <n v="4"/>
    <n v="0"/>
    <n v="1159.1500000000001"/>
    <n v="4636.6000000000004"/>
    <n v="1452.04"/>
    <n v="3184.56"/>
    <s v="Cash"/>
    <s v="CASH"/>
  </r>
  <r>
    <s v="ORD10328"/>
    <x v="101"/>
    <s v="Priya Patil"/>
    <s v="Priya Patil"/>
    <x v="5"/>
    <s v="Maharashtra"/>
    <x v="1"/>
    <s v="Furniture"/>
    <n v="5"/>
    <n v="0"/>
    <n v="9317.2999999999993"/>
    <n v="46586.5"/>
    <n v="22974.5"/>
    <n v="23612"/>
    <s v="Debit Card"/>
    <s v="DEBIT CARD"/>
  </r>
  <r>
    <s v="ORD10333"/>
    <x v="101"/>
    <s v="Neha Jadhav"/>
    <s v="Neha Jadhav"/>
    <x v="10"/>
    <s v="Karnataka"/>
    <x v="9"/>
    <s v="Furniture"/>
    <n v="4"/>
    <n v="0"/>
    <n v="7605.15"/>
    <n v="30420.6"/>
    <n v="13717.8"/>
    <n v="16702.8"/>
    <s v="Debit Card"/>
    <s v="DEBIT CARD"/>
  </r>
  <r>
    <s v="ORD10398"/>
    <x v="101"/>
    <s v="Kavita Singh"/>
    <s v="Kavita Singh"/>
    <x v="3"/>
    <s v="Maharashtra"/>
    <x v="2"/>
    <s v="Electronics"/>
    <n v="5"/>
    <n v="0.05"/>
    <n v="53885.73"/>
    <n v="255957.22"/>
    <n v="203264.35"/>
    <n v="52692.87"/>
    <s v="Debit Card"/>
    <s v="DEBIT CARD"/>
  </r>
  <r>
    <s v="ORD10407"/>
    <x v="102"/>
    <s v="Kavita Singh"/>
    <s v="Kavita Singh"/>
    <x v="5"/>
    <s v="Maharashtra"/>
    <x v="10"/>
    <s v="Electronics"/>
    <n v="3"/>
    <n v="0"/>
    <n v="18812.560000000001"/>
    <n v="56437.68"/>
    <n v="23513.49"/>
    <n v="32924.19"/>
    <s v="Debit Card"/>
    <s v="DEBIT CARD"/>
  </r>
  <r>
    <s v="ORD10023"/>
    <x v="102"/>
    <s v="Rahul Pawar"/>
    <s v="Rahul Pawar"/>
    <x v="3"/>
    <s v="Maharashtra"/>
    <x v="8"/>
    <s v="Electronics"/>
    <n v="4"/>
    <n v="0"/>
    <n v="15552.39"/>
    <n v="62209.56"/>
    <n v="36760.120000000003"/>
    <n v="25449.439999999999"/>
    <s v="Cash"/>
    <s v="CASH"/>
  </r>
  <r>
    <s v="ORD10354"/>
    <x v="103"/>
    <s v="Pooja Shinde"/>
    <s v="Pooja Shinde"/>
    <x v="5"/>
    <s v="Maharashtra"/>
    <x v="7"/>
    <s v="Electronics"/>
    <n v="1"/>
    <n v="0"/>
    <n v="22333.61"/>
    <n v="22333.61"/>
    <n v="14334.04"/>
    <n v="7999.57"/>
    <s v="UPI"/>
    <s v="UPI"/>
  </r>
  <r>
    <s v="ORD10410"/>
    <x v="104"/>
    <s v="Kunal Thakur"/>
    <s v="Kunal Thakur"/>
    <x v="0"/>
    <s v="Delhi"/>
    <x v="6"/>
    <s v="Accessories"/>
    <n v="1"/>
    <n v="0"/>
    <n v="3482.18"/>
    <n v="3482.18"/>
    <n v="1213.47"/>
    <n v="2268.71"/>
    <s v="Net Banking"/>
    <s v="NET BANKING"/>
  </r>
  <r>
    <s v="ORD10077"/>
    <x v="105"/>
    <s v="Swati Kale"/>
    <s v="Swati Kale"/>
    <x v="7"/>
    <s v="Gujarat"/>
    <x v="7"/>
    <s v="Electronics"/>
    <n v="5"/>
    <n v="0"/>
    <n v="22175.23"/>
    <n v="110876.15"/>
    <n v="68890.95"/>
    <n v="41985.2"/>
    <s v="Debit Card"/>
    <s v="DEBIT CARD"/>
  </r>
  <r>
    <s v="ORD10052"/>
    <x v="105"/>
    <s v="Aditya Joshi"/>
    <s v="Aditya Joshi"/>
    <x v="10"/>
    <s v="Karnataka"/>
    <x v="2"/>
    <s v="Electronics"/>
    <n v="3"/>
    <n v="0"/>
    <n v="51334.49"/>
    <n v="154003.47"/>
    <n v="129482.79"/>
    <n v="24520.68"/>
    <s v="Cash"/>
    <s v="CASH"/>
  </r>
  <r>
    <s v="ORD10024"/>
    <x v="105"/>
    <s v="Anjali Chavan"/>
    <s v="Anjali Chavan"/>
    <x v="0"/>
    <s v="Delhi"/>
    <x v="4"/>
    <s v="Bags"/>
    <n v="1"/>
    <n v="0"/>
    <n v="1803.2"/>
    <n v="1803.2"/>
    <n v="723.64"/>
    <n v="1079.56"/>
    <s v="Debit Card"/>
    <s v="DEBIT CARD"/>
  </r>
  <r>
    <s v="ORD10268"/>
    <x v="106"/>
    <s v="Kavita Singh"/>
    <s v="Kavita Singh"/>
    <x v="9"/>
    <s v="Madhya Pradesh"/>
    <x v="9"/>
    <s v="Furniture"/>
    <n v="3"/>
    <n v="0.15"/>
    <n v="7545.13"/>
    <n v="19240.080000000002"/>
    <n v="10958.67"/>
    <n v="8281.41"/>
    <s v="UPI"/>
    <s v="UPI"/>
  </r>
  <r>
    <s v="ORD10283"/>
    <x v="106"/>
    <s v="Aditya Joshi"/>
    <s v="Aditya Joshi"/>
    <x v="8"/>
    <s v="Maharashtra"/>
    <x v="10"/>
    <s v="Electronics"/>
    <n v="3"/>
    <n v="0.05"/>
    <n v="17267.45"/>
    <n v="49212.23"/>
    <n v="22870.47"/>
    <n v="26341.759999999998"/>
    <s v="Debit Card"/>
    <s v="DEBIT CARD"/>
  </r>
  <r>
    <s v="ORD10078"/>
    <x v="107"/>
    <s v="Riya Shah"/>
    <s v="Riya Shah"/>
    <x v="3"/>
    <s v="Maharashtra"/>
    <x v="3"/>
    <s v="Accessories"/>
    <n v="4"/>
    <n v="0"/>
    <n v="1181.48"/>
    <n v="4725.92"/>
    <n v="1455.56"/>
    <n v="3270.36"/>
    <s v="Net Banking"/>
    <s v="NET BANKING"/>
  </r>
  <r>
    <s v="ORD10285"/>
    <x v="108"/>
    <s v="Aarav Sharma"/>
    <s v="Aarav Sharma"/>
    <x v="4"/>
    <s v="Maharashtra"/>
    <x v="11"/>
    <s v="Accessories"/>
    <n v="2"/>
    <n v="0.1"/>
    <n v="1868.37"/>
    <n v="3363.07"/>
    <n v="1203.06"/>
    <n v="2160.0100000000002"/>
    <s v="Net Banking"/>
    <s v="NET BANKING"/>
  </r>
  <r>
    <s v="ORD10316"/>
    <x v="108"/>
    <s v="Kavita Singh"/>
    <s v="Kavita Singh"/>
    <x v="3"/>
    <s v="Maharashtra"/>
    <x v="11"/>
    <s v="Accessories"/>
    <n v="2"/>
    <n v="0.05"/>
    <n v="1750.73"/>
    <n v="3326.39"/>
    <n v="1186.0999999999999"/>
    <n v="2140.29"/>
    <s v="UPI"/>
    <s v="UPI"/>
  </r>
  <r>
    <s v="ORD10491"/>
    <x v="108"/>
    <s v="Akash Wagh"/>
    <s v="Akash Wagh"/>
    <x v="6"/>
    <s v="Telangana"/>
    <x v="9"/>
    <s v="Furniture"/>
    <n v="1"/>
    <n v="0"/>
    <n v="7345.33"/>
    <n v="7345.33"/>
    <n v="3339.52"/>
    <n v="4005.81"/>
    <s v="Debit Card"/>
    <s v="DEBIT CARD"/>
  </r>
  <r>
    <s v="ORD10101"/>
    <x v="109"/>
    <s v="Nikhil Gupta"/>
    <s v="Nikhil Gupta"/>
    <x v="4"/>
    <s v="Maharashtra"/>
    <x v="6"/>
    <s v="Accessories"/>
    <n v="5"/>
    <n v="0"/>
    <n v="3464.05"/>
    <n v="17320.25"/>
    <n v="6178.4"/>
    <n v="11141.85"/>
    <s v="Cash"/>
    <s v="CASH"/>
  </r>
  <r>
    <s v="ORD10318"/>
    <x v="109"/>
    <s v="Anjali Chavan"/>
    <s v="Anjali Chavan"/>
    <x v="3"/>
    <s v="Maharashtra"/>
    <x v="11"/>
    <s v="Accessories"/>
    <n v="4"/>
    <n v="0"/>
    <n v="1847.14"/>
    <n v="7388.56"/>
    <n v="2507.1999999999998"/>
    <n v="4881.3599999999997"/>
    <s v="Cash"/>
    <s v="CASH"/>
  </r>
  <r>
    <s v="ORD10040"/>
    <x v="110"/>
    <s v="Kunal Thakur"/>
    <s v="Kunal Thakur"/>
    <x v="9"/>
    <s v="Madhya Pradesh"/>
    <x v="6"/>
    <s v="Accessories"/>
    <n v="3"/>
    <n v="0.05"/>
    <n v="3579.13"/>
    <n v="10200.52"/>
    <n v="3771.3"/>
    <n v="6429.22"/>
    <s v="UPI"/>
    <s v="UPI"/>
  </r>
  <r>
    <s v="ORD10208"/>
    <x v="111"/>
    <s v="Amit Verma"/>
    <s v="Amit Verma"/>
    <x v="6"/>
    <s v="Telangana"/>
    <x v="1"/>
    <s v="Furniture"/>
    <n v="5"/>
    <n v="0"/>
    <n v="8571.27"/>
    <n v="42856.35"/>
    <n v="22819.45"/>
    <n v="20036.900000000001"/>
    <s v="Credit Card"/>
    <s v="CREDIT CARD"/>
  </r>
  <r>
    <s v="ORD10167"/>
    <x v="112"/>
    <s v="Anjali Chavan"/>
    <s v="Anjali Chavan"/>
    <x v="8"/>
    <s v="Maharashtra"/>
    <x v="5"/>
    <s v="Furniture"/>
    <n v="1"/>
    <n v="0.05"/>
    <n v="5711.02"/>
    <n v="5425.47"/>
    <n v="2495.59"/>
    <n v="2929.88"/>
    <s v="Credit Card"/>
    <s v="CREDIT CARD"/>
  </r>
  <r>
    <s v="ORD10114"/>
    <x v="113"/>
    <s v="Aarav Sharma"/>
    <s v="Aarav Sharma"/>
    <x v="9"/>
    <s v="Madhya Pradesh"/>
    <x v="6"/>
    <s v="Accessories"/>
    <n v="1"/>
    <n v="0"/>
    <n v="3351.43"/>
    <n v="3351.43"/>
    <n v="1230.3900000000001"/>
    <n v="2121.04"/>
    <s v="Cash"/>
    <s v="CASH"/>
  </r>
  <r>
    <s v="ORD10256"/>
    <x v="113"/>
    <s v="Riya Shah"/>
    <s v="Riya Shah"/>
    <x v="10"/>
    <s v="Karnataka"/>
    <x v="8"/>
    <s v="Electronics"/>
    <n v="5"/>
    <n v="0.05"/>
    <n v="16098.38"/>
    <n v="76467.3"/>
    <n v="45272.95"/>
    <n v="31194.35"/>
    <s v="Debit Card"/>
    <s v="DEBIT CARD"/>
  </r>
  <r>
    <s v="ORD10161"/>
    <x v="114"/>
    <s v="Akash Wagh"/>
    <s v="Akash Wagh"/>
    <x v="1"/>
    <s v="Maharashtra"/>
    <x v="4"/>
    <s v="Bags"/>
    <n v="5"/>
    <n v="0.15"/>
    <n v="1783.68"/>
    <n v="7580.64"/>
    <n v="3637.95"/>
    <n v="3942.69"/>
    <s v="UPI"/>
    <s v="UPI"/>
  </r>
  <r>
    <s v="ORD10453"/>
    <x v="114"/>
    <s v="Nikhil Gupta"/>
    <s v="Nikhil Gupta"/>
    <x v="0"/>
    <s v="Delhi"/>
    <x v="10"/>
    <s v="Electronics"/>
    <n v="5"/>
    <n v="0.05"/>
    <n v="18552"/>
    <n v="88122"/>
    <n v="41432.1"/>
    <n v="46689.9"/>
    <s v="Net Banking"/>
    <s v="NET BANKING"/>
  </r>
  <r>
    <s v="ORD10265"/>
    <x v="114"/>
    <s v="Meera Desai"/>
    <s v="Meera Desai"/>
    <x v="6"/>
    <s v="Telangana"/>
    <x v="6"/>
    <s v="Accessories"/>
    <n v="5"/>
    <n v="0"/>
    <n v="3344.97"/>
    <n v="16724.849999999999"/>
    <n v="5869.3"/>
    <n v="10855.55"/>
    <s v="Credit Card"/>
    <s v="CREDIT CARD"/>
  </r>
  <r>
    <s v="ORD10242"/>
    <x v="115"/>
    <s v="Kavita Singh"/>
    <s v="Kavita Singh"/>
    <x v="4"/>
    <s v="Maharashtra"/>
    <x v="4"/>
    <s v="Bags"/>
    <n v="1"/>
    <n v="0.05"/>
    <n v="1717.55"/>
    <n v="1631.67"/>
    <n v="732.79"/>
    <n v="898.88"/>
    <s v="Debit Card"/>
    <s v="DEBIT CARD"/>
  </r>
  <r>
    <s v="ORD10278"/>
    <x v="115"/>
    <s v="Aditya Joshi"/>
    <s v="Aditya Joshi"/>
    <x v="7"/>
    <s v="Gujarat"/>
    <x v="11"/>
    <s v="Accessories"/>
    <n v="3"/>
    <n v="0"/>
    <n v="1743.61"/>
    <n v="5230.83"/>
    <n v="1726.92"/>
    <n v="3503.91"/>
    <s v="Net Banking"/>
    <s v="NET BANKING"/>
  </r>
  <r>
    <s v="ORD10458"/>
    <x v="116"/>
    <s v="Meera Desai"/>
    <s v="Meera Desai"/>
    <x v="9"/>
    <s v="Madhya Pradesh"/>
    <x v="11"/>
    <s v="Accessories"/>
    <n v="3"/>
    <n v="0"/>
    <n v="1798.95"/>
    <n v="5396.85"/>
    <n v="1864.98"/>
    <n v="3531.87"/>
    <s v="Debit Card"/>
    <s v="DEBIT CARD"/>
  </r>
  <r>
    <s v="ORD10317"/>
    <x v="117"/>
    <s v="Priya Patil"/>
    <s v="Priya Patil"/>
    <x v="8"/>
    <s v="Maharashtra"/>
    <x v="1"/>
    <s v="Furniture"/>
    <n v="3"/>
    <n v="0.05"/>
    <n v="8884.06"/>
    <n v="25319.57"/>
    <n v="13636.44"/>
    <n v="11683.13"/>
    <s v="Cash"/>
    <s v="CASH"/>
  </r>
  <r>
    <s v="ORD10048"/>
    <x v="118"/>
    <s v="Anjali Chavan"/>
    <s v="Anjali Chavan"/>
    <x v="2"/>
    <s v="Maharashtra"/>
    <x v="2"/>
    <s v="Electronics"/>
    <n v="1"/>
    <n v="0.1"/>
    <n v="53667.33"/>
    <n v="48300.6"/>
    <n v="42528.95"/>
    <n v="5771.65"/>
    <s v="Debit Card"/>
    <s v="DEBIT CARD"/>
  </r>
  <r>
    <s v="ORD10420"/>
    <x v="118"/>
    <s v="Sneha Kulkarni"/>
    <s v="Sneha Kulkarni"/>
    <x v="5"/>
    <s v="Maharashtra"/>
    <x v="9"/>
    <s v="Furniture"/>
    <n v="3"/>
    <n v="0.05"/>
    <n v="7597.69"/>
    <n v="21653.42"/>
    <n v="10235.790000000001"/>
    <n v="11417.63"/>
    <s v="Credit Card"/>
    <s v="CREDIT CARD"/>
  </r>
  <r>
    <s v="ORD10397"/>
    <x v="118"/>
    <s v="Kunal Thakur"/>
    <s v="Kunal Thakur"/>
    <x v="2"/>
    <s v="Maharashtra"/>
    <x v="1"/>
    <s v="Furniture"/>
    <n v="4"/>
    <n v="0.05"/>
    <n v="9000.98"/>
    <n v="34203.72"/>
    <n v="18371.16"/>
    <n v="15832.56"/>
    <s v="Net Banking"/>
    <s v="NET BANKING"/>
  </r>
  <r>
    <s v="ORD10335"/>
    <x v="119"/>
    <s v="Rohan Deshmukh"/>
    <s v="Rohan Deshmukh"/>
    <x v="1"/>
    <s v="Maharashtra"/>
    <x v="3"/>
    <s v="Accessories"/>
    <n v="2"/>
    <n v="0"/>
    <n v="1175.93"/>
    <n v="2351.86"/>
    <n v="690.12"/>
    <n v="1661.74"/>
    <s v="UPI"/>
    <s v="UPI"/>
  </r>
  <r>
    <s v="ORD10456"/>
    <x v="120"/>
    <s v="Priya Patil"/>
    <s v="Priya Patil"/>
    <x v="3"/>
    <s v="Maharashtra"/>
    <x v="11"/>
    <s v="Accessories"/>
    <n v="5"/>
    <n v="0.05"/>
    <n v="1814.57"/>
    <n v="8619.2099999999991"/>
    <n v="3147.2"/>
    <n v="5472.01"/>
    <s v="Credit Card"/>
    <s v="CREDIT CARD"/>
  </r>
  <r>
    <s v="ORD10248"/>
    <x v="120"/>
    <s v="Aditya Joshi"/>
    <s v="Aditya Joshi"/>
    <x v="5"/>
    <s v="Maharashtra"/>
    <x v="10"/>
    <s v="Electronics"/>
    <n v="2"/>
    <n v="0"/>
    <n v="18010.53"/>
    <n v="36021.06"/>
    <n v="16545.12"/>
    <n v="19475.939999999999"/>
    <s v="Net Banking"/>
    <s v="NET BANKING"/>
  </r>
  <r>
    <s v="ORD10213"/>
    <x v="121"/>
    <s v="Priya Patil"/>
    <s v="Priya Patil"/>
    <x v="6"/>
    <s v="Telangana"/>
    <x v="8"/>
    <s v="Electronics"/>
    <n v="4"/>
    <n v="0"/>
    <n v="15732.8"/>
    <n v="62931.199999999997"/>
    <n v="36610.160000000003"/>
    <n v="26321.040000000001"/>
    <s v="UPI"/>
    <s v="UPI"/>
  </r>
  <r>
    <s v="ORD10417"/>
    <x v="122"/>
    <s v="Rohan Deshmukh"/>
    <s v="Rohan Deshmukh"/>
    <x v="10"/>
    <s v="Karnataka"/>
    <x v="7"/>
    <s v="Electronics"/>
    <n v="2"/>
    <n v="0.1"/>
    <n v="21743.23"/>
    <n v="39137.81"/>
    <n v="27981.8"/>
    <n v="11156.01"/>
    <s v="Credit Card"/>
    <s v="CREDIT CARD"/>
  </r>
  <r>
    <s v="ORD10365"/>
    <x v="123"/>
    <s v="Rohan Deshmukh  "/>
    <s v="Rohan Deshmukh"/>
    <x v="2"/>
    <s v="Maharashtra"/>
    <x v="11"/>
    <s v="Accessories"/>
    <n v="4"/>
    <n v="0"/>
    <n v="1831.34"/>
    <n v="7325.36"/>
    <n v="2342.36"/>
    <n v="4983"/>
    <s v="Cash"/>
    <s v="CASH"/>
  </r>
  <r>
    <s v="ORD10452"/>
    <x v="124"/>
    <s v="Isha Bhosale"/>
    <s v="Isha Bhosale"/>
    <x v="5"/>
    <s v="Maharashtra"/>
    <x v="3"/>
    <s v="Accessories"/>
    <n v="2"/>
    <n v="0.1"/>
    <n v="1169.8800000000001"/>
    <n v="2105.7800000000002"/>
    <n v="705.36"/>
    <n v="1400.42"/>
    <s v="Cash"/>
    <s v="CASH"/>
  </r>
  <r>
    <s v="ORD10309"/>
    <x v="125"/>
    <s v="Nikhil Gupta"/>
    <s v="Nikhil Gupta"/>
    <x v="6"/>
    <s v="Telangana"/>
    <x v="0"/>
    <s v="Electronics"/>
    <n v="5"/>
    <n v="0"/>
    <n v="12163.68"/>
    <n v="60818.400000000001"/>
    <n v="31041.200000000001"/>
    <n v="29777.200000000001"/>
    <s v="Cash"/>
    <s v="CASH"/>
  </r>
  <r>
    <s v="ORD10145"/>
    <x v="126"/>
    <s v="Riya Shah"/>
    <s v="Riya Shah"/>
    <x v="0"/>
    <s v="Delhi"/>
    <x v="3"/>
    <s v="Accessories"/>
    <n v="1"/>
    <n v="0.05"/>
    <n v="1211.67"/>
    <n v="1151.0899999999999"/>
    <n v="350.88"/>
    <n v="800.21"/>
    <s v="UPI"/>
    <s v="UPI"/>
  </r>
  <r>
    <s v="ORD10277"/>
    <x v="126"/>
    <s v="Amit Verma"/>
    <s v="Amit Verma"/>
    <x v="7"/>
    <s v="Gujarat"/>
    <x v="2"/>
    <s v="Electronics"/>
    <n v="2"/>
    <n v="0.05"/>
    <n v="49948.46"/>
    <n v="94902.07"/>
    <n v="85316.96"/>
    <n v="9585.11"/>
    <s v="Debit Card"/>
    <s v="DEBIT CARD"/>
  </r>
  <r>
    <s v="ORD10047"/>
    <x v="126"/>
    <s v="Rohan Deshmukh"/>
    <s v="Rohan Deshmukh"/>
    <x v="10"/>
    <s v="Karnataka"/>
    <x v="6"/>
    <s v="Accessories"/>
    <n v="2"/>
    <n v="0"/>
    <n v="3530.02"/>
    <n v="7060.04"/>
    <n v="2505.66"/>
    <n v="4554.38"/>
    <s v="Cash"/>
    <s v="CASH"/>
  </r>
  <r>
    <s v="ORD10186"/>
    <x v="127"/>
    <s v="Meera Desai"/>
    <s v="Meera Desai"/>
    <x v="2"/>
    <s v="Maharashtra"/>
    <x v="2"/>
    <s v="Electronics"/>
    <n v="3"/>
    <n v="0.05"/>
    <n v="54256.15"/>
    <n v="154630.03"/>
    <n v="123683.58"/>
    <n v="30946.45"/>
    <s v="Cash"/>
    <s v="CASH"/>
  </r>
  <r>
    <s v="ORD10151"/>
    <x v="128"/>
    <s v="Anjali Chavan"/>
    <s v="Anjali Chavan"/>
    <x v="7"/>
    <s v="Gujarat"/>
    <x v="2"/>
    <s v="Electronics"/>
    <n v="3"/>
    <n v="0.1"/>
    <n v="53083.49"/>
    <n v="143325.42000000001"/>
    <n v="130246.38"/>
    <n v="13079.04"/>
    <s v="Cash"/>
    <s v="CASH"/>
  </r>
  <r>
    <s v="ORD10378"/>
    <x v="128"/>
    <s v="Riya Shah"/>
    <s v="Riya Shah"/>
    <x v="8"/>
    <s v="Maharashtra"/>
    <x v="2"/>
    <s v="Electronics"/>
    <n v="3"/>
    <n v="0"/>
    <n v="52634.61"/>
    <n v="157903.82999999999"/>
    <n v="132204.78"/>
    <n v="25699.05"/>
    <s v="Cash"/>
    <s v="CASH"/>
  </r>
  <r>
    <s v="ORD10457"/>
    <x v="129"/>
    <s v="Aditya Joshi"/>
    <s v="Aditya Joshi"/>
    <x v="1"/>
    <s v="Maharashtra"/>
    <x v="10"/>
    <s v="Electronics"/>
    <n v="1"/>
    <n v="0"/>
    <n v="18174.330000000002"/>
    <n v="18174.330000000002"/>
    <n v="8342.5499999999993"/>
    <n v="9831.7800000000007"/>
    <s v="Debit Card"/>
    <s v="DEBIT CARD"/>
  </r>
  <r>
    <s v="ORD10136"/>
    <x v="129"/>
    <s v="Kavita Singh"/>
    <s v="Kavita Singh"/>
    <x v="9"/>
    <s v="Madhya Pradesh"/>
    <x v="5"/>
    <s v="Furniture"/>
    <n v="4"/>
    <n v="0.05"/>
    <n v="6231"/>
    <n v="23677.8"/>
    <n v="10030.280000000001"/>
    <n v="13647.52"/>
    <s v="UPI"/>
    <s v="UPI"/>
  </r>
  <r>
    <s v="ORD10266"/>
    <x v="130"/>
    <s v="Amit Verma"/>
    <s v="Amit Verma"/>
    <x v="8"/>
    <s v="Maharashtra"/>
    <x v="3"/>
    <s v="Accessories"/>
    <n v="2"/>
    <n v="0.1"/>
    <n v="1172.18"/>
    <n v="2109.92"/>
    <n v="675.94"/>
    <n v="1433.98"/>
    <s v="Cash"/>
    <s v="CASH"/>
  </r>
  <r>
    <s v="ORD10021"/>
    <x v="130"/>
    <s v="Akash Wagh"/>
    <s v="Akash Wagh"/>
    <x v="0"/>
    <s v="Delhi"/>
    <x v="5"/>
    <s v="Furniture"/>
    <n v="2"/>
    <n v="0.15"/>
    <n v="5845.23"/>
    <n v="9936.89"/>
    <n v="5086.0600000000004"/>
    <n v="4850.83"/>
    <s v="Net Banking"/>
    <s v="NET BANKING"/>
  </r>
  <r>
    <s v="ORD10476"/>
    <x v="131"/>
    <s v="Pooja Shinde"/>
    <s v="Pooja Shinde"/>
    <x v="8"/>
    <s v="Maharashtra"/>
    <x v="5"/>
    <s v="Furniture"/>
    <n v="1"/>
    <n v="0.1"/>
    <n v="5944.08"/>
    <n v="5349.67"/>
    <n v="2457.06"/>
    <n v="2892.61"/>
    <s v="Net Banking"/>
    <s v="NET BANKING"/>
  </r>
  <r>
    <s v="ORD10033"/>
    <x v="132"/>
    <s v="Aarav Sharma"/>
    <s v="Aarav Sharma"/>
    <x v="3"/>
    <s v="Maharashtra"/>
    <x v="4"/>
    <s v="Bags"/>
    <n v="5"/>
    <n v="0.1"/>
    <n v="1787.07"/>
    <n v="8041.82"/>
    <n v="3663.35"/>
    <n v="4378.47"/>
    <s v="Cash"/>
    <s v="CASH"/>
  </r>
  <r>
    <s v="ORD10232"/>
    <x v="132"/>
    <s v="Amit Verma"/>
    <s v="Amit Verma"/>
    <x v="2"/>
    <s v="Maharashtra"/>
    <x v="11"/>
    <s v="Accessories"/>
    <n v="2"/>
    <n v="0"/>
    <n v="1717.67"/>
    <n v="3435.34"/>
    <n v="1184.56"/>
    <n v="2250.7800000000002"/>
    <s v="Net Banking"/>
    <s v="NET BANKING"/>
  </r>
  <r>
    <s v="ORD10337"/>
    <x v="132"/>
    <s v="Vivek More"/>
    <s v="Vivek More"/>
    <x v="4"/>
    <s v="Maharashtra"/>
    <x v="4"/>
    <s v="Bags"/>
    <n v="5"/>
    <n v="0.05"/>
    <n v="1735.71"/>
    <n v="8244.6200000000008"/>
    <n v="3588.7"/>
    <n v="4655.92"/>
    <s v="UPI"/>
    <s v="UPI"/>
  </r>
  <r>
    <s v="ORD10125"/>
    <x v="133"/>
    <s v="Meera Desai"/>
    <s v="Meera Desai"/>
    <x v="2"/>
    <s v="Maharashtra"/>
    <x v="9"/>
    <s v="Furniture"/>
    <n v="2"/>
    <n v="0.05"/>
    <n v="7623.78"/>
    <n v="14485.18"/>
    <n v="6772.76"/>
    <n v="7712.42"/>
    <s v="Credit Card"/>
    <s v="CREDIT CARD"/>
  </r>
  <r>
    <s v="ORD10229"/>
    <x v="134"/>
    <s v="Rohan Deshmukh"/>
    <s v="Rohan Deshmukh"/>
    <x v="8"/>
    <s v="Maharashtra"/>
    <x v="6"/>
    <s v="Accessories"/>
    <n v="4"/>
    <n v="0.05"/>
    <n v="3474.13"/>
    <n v="13201.69"/>
    <n v="4622.76"/>
    <n v="8578.93"/>
    <s v="Debit Card"/>
    <s v="DEBIT CARD"/>
  </r>
  <r>
    <s v="ORD10061"/>
    <x v="134"/>
    <s v="Akash Wagh"/>
    <s v="Akash Wagh"/>
    <x v="7"/>
    <s v="Gujarat"/>
    <x v="9"/>
    <s v="Furniture"/>
    <n v="5"/>
    <n v="0.1"/>
    <n v="7683.16"/>
    <n v="34574.22"/>
    <n v="17816.8"/>
    <n v="16757.419999999998"/>
    <s v="UPI"/>
    <s v="UPI"/>
  </r>
  <r>
    <s v="ORD10305"/>
    <x v="135"/>
    <s v="Anjali Chavan"/>
    <s v="Anjali Chavan"/>
    <x v="4"/>
    <s v="Maharashtra"/>
    <x v="9"/>
    <s v="Furniture"/>
    <n v="3"/>
    <n v="0.1"/>
    <n v="7338.68"/>
    <n v="19814.439999999999"/>
    <n v="10461"/>
    <n v="9353.44"/>
    <s v="Debit Card"/>
    <s v="DEBIT CARD"/>
  </r>
  <r>
    <s v="ORD10331"/>
    <x v="135"/>
    <s v="Kunal Thakur"/>
    <s v="Kunal Thakur"/>
    <x v="0"/>
    <s v="Delhi"/>
    <x v="6"/>
    <s v="Accessories"/>
    <n v="3"/>
    <n v="0"/>
    <n v="3591.63"/>
    <n v="10774.89"/>
    <n v="3559.14"/>
    <n v="7215.75"/>
    <s v="Credit Card"/>
    <s v="CREDIT CARD"/>
  </r>
  <r>
    <s v="ORD10234"/>
    <x v="135"/>
    <s v="Akash Wagh"/>
    <s v="Akash Wagh"/>
    <x v="7"/>
    <s v="Gujarat"/>
    <x v="6"/>
    <s v="Accessories"/>
    <n v="5"/>
    <n v="0.05"/>
    <n v="3599.76"/>
    <n v="17098.86"/>
    <n v="6235.25"/>
    <n v="10863.61"/>
    <s v="UPI"/>
    <s v="UPI"/>
  </r>
  <r>
    <s v="ORD10156"/>
    <x v="136"/>
    <s v="Riya Shah"/>
    <s v="Riya Shah"/>
    <x v="2"/>
    <s v="Maharashtra"/>
    <x v="6"/>
    <s v="Accessories"/>
    <n v="2"/>
    <n v="0.1"/>
    <n v="3383.23"/>
    <n v="6089.81"/>
    <n v="2465.04"/>
    <n v="3624.77"/>
    <s v="Credit Card"/>
    <s v="CREDIT CARD"/>
  </r>
  <r>
    <s v="ORD10434"/>
    <x v="136"/>
    <s v="Akash Wagh"/>
    <s v="Akash Wagh"/>
    <x v="4"/>
    <s v="Maharashtra"/>
    <x v="11"/>
    <s v="Accessories"/>
    <n v="2"/>
    <n v="0.1"/>
    <n v="1746.78"/>
    <n v="3144.2"/>
    <n v="1200.94"/>
    <n v="1943.26"/>
    <s v="UPI"/>
    <s v="UPI"/>
  </r>
  <r>
    <s v="ORD10301"/>
    <x v="137"/>
    <s v="Priya Patil"/>
    <s v="Priya Patil"/>
    <x v="5"/>
    <s v="Maharashtra"/>
    <x v="1"/>
    <s v="Furniture"/>
    <n v="4"/>
    <n v="0"/>
    <n v="8896.06"/>
    <n v="35584.239999999998"/>
    <n v="17977.8"/>
    <n v="17606.439999999999"/>
    <s v="Debit Card"/>
    <s v="DEBIT CARD"/>
  </r>
  <r>
    <s v="ORD10147"/>
    <x v="138"/>
    <s v="Priya Patil"/>
    <s v="Priya Patil"/>
    <x v="7"/>
    <s v="Gujarat"/>
    <x v="7"/>
    <s v="Electronics"/>
    <n v="3"/>
    <n v="0.1"/>
    <n v="21484.32"/>
    <n v="58007.66"/>
    <n v="40443.96"/>
    <n v="17563.7"/>
    <s v="Cash"/>
    <s v="CASH"/>
  </r>
  <r>
    <s v="ORD10050"/>
    <x v="139"/>
    <s v="Riya Shah"/>
    <s v="Riya Shah"/>
    <x v="7"/>
    <s v="Gujarat"/>
    <x v="0"/>
    <s v="Electronics"/>
    <n v="5"/>
    <n v="0.1"/>
    <n v="11427.93"/>
    <n v="51425.69"/>
    <n v="33522"/>
    <n v="17903.689999999999"/>
    <s v="Net Banking"/>
    <s v="NET BANKING"/>
  </r>
  <r>
    <s v="ORD10219"/>
    <x v="139"/>
    <s v="Riya Shah"/>
    <s v="Riya Shah"/>
    <x v="9"/>
    <s v="Madhya Pradesh"/>
    <x v="4"/>
    <s v="Bags"/>
    <n v="1"/>
    <n v="0.05"/>
    <n v="1858.55"/>
    <n v="1765.62"/>
    <n v="684.58"/>
    <n v="1081.04"/>
    <s v="Debit Card"/>
    <s v="DEBIT CARD"/>
  </r>
  <r>
    <s v="ORD10402"/>
    <x v="140"/>
    <s v="Priya Patil"/>
    <s v="Priya Patil"/>
    <x v="5"/>
    <s v="Maharashtra"/>
    <x v="3"/>
    <s v="Accessories"/>
    <n v="3"/>
    <n v="0"/>
    <n v="1150.07"/>
    <n v="3450.21"/>
    <n v="1032.51"/>
    <n v="2417.6999999999998"/>
    <s v="Cash"/>
    <s v="CASH"/>
  </r>
  <r>
    <s v="ORD10132"/>
    <x v="141"/>
    <s v="Pooja Shinde"/>
    <s v="Pooja Shinde"/>
    <x v="5"/>
    <s v="Maharashtra"/>
    <x v="9"/>
    <s v="Furniture"/>
    <n v="3"/>
    <n v="0.05"/>
    <n v="7729.92"/>
    <n v="22030.27"/>
    <n v="10666.71"/>
    <n v="11363.56"/>
    <s v="UPI"/>
    <s v="UPI"/>
  </r>
  <r>
    <s v="ORD10479"/>
    <x v="142"/>
    <s v="Pooja Shinde"/>
    <s v="Pooja Shinde"/>
    <x v="5"/>
    <s v="Maharashtra"/>
    <x v="8"/>
    <s v="Electronics"/>
    <n v="5"/>
    <n v="0"/>
    <n v="16645.11"/>
    <n v="83225.55"/>
    <n v="45467.35"/>
    <n v="37758.199999999997"/>
    <s v="UPI"/>
    <s v="UPI"/>
  </r>
  <r>
    <s v="ORD10022"/>
    <x v="143"/>
    <s v="Neha Jadhav"/>
    <s v="Neha Jadhav"/>
    <x v="2"/>
    <s v="Maharashtra"/>
    <x v="6"/>
    <s v="Accessories"/>
    <n v="2"/>
    <n v="0.05"/>
    <n v="3512.52"/>
    <n v="6673.79"/>
    <n v="2301.66"/>
    <n v="4372.13"/>
    <s v="Net Banking"/>
    <s v="NET BANKING"/>
  </r>
  <r>
    <s v="ORD10312"/>
    <x v="143"/>
    <s v="Rahul Pawar"/>
    <s v="Rahul Pawar"/>
    <x v="5"/>
    <s v="Maharashtra"/>
    <x v="7"/>
    <s v="Electronics"/>
    <n v="3"/>
    <n v="0.05"/>
    <n v="20922.29"/>
    <n v="59628.53"/>
    <n v="42571.59"/>
    <n v="17056.939999999999"/>
    <s v="Cash"/>
    <s v="CASH"/>
  </r>
  <r>
    <s v="ORD10007"/>
    <x v="144"/>
    <s v="Sneha Kulkarni"/>
    <s v="Sneha Kulkarni"/>
    <x v="1"/>
    <s v="Maharashtra"/>
    <x v="7"/>
    <s v="Electronics"/>
    <n v="2"/>
    <n v="0.05"/>
    <n v="20968.89"/>
    <n v="39840.89"/>
    <n v="28958.400000000001"/>
    <n v="10882.49"/>
    <s v="Cash"/>
    <s v="CASH"/>
  </r>
  <r>
    <s v="ORD10206"/>
    <x v="144"/>
    <s v="Riya Shah"/>
    <s v="Riya Shah"/>
    <x v="6"/>
    <s v="Telangana"/>
    <x v="10"/>
    <s v="Electronics"/>
    <n v="5"/>
    <n v="0"/>
    <n v="18417.52"/>
    <n v="92087.6"/>
    <n v="41404.699999999997"/>
    <n v="50682.9"/>
    <s v="Debit Card"/>
    <s v="DEBIT CARD"/>
  </r>
  <r>
    <s v="ORD10423"/>
    <x v="144"/>
    <s v="Riya Shah"/>
    <s v="Riya Shah"/>
    <x v="2"/>
    <s v="Maharashtra"/>
    <x v="4"/>
    <s v="Bags"/>
    <n v="1"/>
    <n v="0.1"/>
    <n v="1730.14"/>
    <n v="1557.13"/>
    <n v="701.15"/>
    <n v="855.98"/>
    <s v="Debit Card"/>
    <s v="DEBIT CARD"/>
  </r>
  <r>
    <s v="ORD10293"/>
    <x v="145"/>
    <s v="Vivek More"/>
    <s v="Vivek More"/>
    <x v="6"/>
    <s v="Telangana"/>
    <x v="8"/>
    <s v="Electronics"/>
    <n v="3"/>
    <n v="0.1"/>
    <n v="16318.9"/>
    <n v="44061.03"/>
    <n v="27916.53"/>
    <n v="16144.5"/>
    <s v="Debit Card"/>
    <s v="DEBIT CARD"/>
  </r>
  <r>
    <s v="ORD10388"/>
    <x v="145"/>
    <s v="Swati Kale"/>
    <s v="Swati Kale"/>
    <x v="0"/>
    <s v="Delhi"/>
    <x v="1"/>
    <s v="Furniture"/>
    <n v="2"/>
    <n v="0"/>
    <n v="8842.77"/>
    <n v="17685.54"/>
    <n v="9191.36"/>
    <n v="8494.18"/>
    <s v="Debit Card"/>
    <s v="DEBIT CARD"/>
  </r>
  <r>
    <s v="ORD10175"/>
    <x v="146"/>
    <s v="Aarav Sharma"/>
    <s v="Aarav Sharma"/>
    <x v="5"/>
    <s v="Maharashtra"/>
    <x v="10"/>
    <s v="Electronics"/>
    <n v="3"/>
    <n v="0"/>
    <n v="17825.87"/>
    <n v="53477.61"/>
    <n v="23329.35"/>
    <n v="30148.26"/>
    <s v="Cash"/>
    <s v="CASH"/>
  </r>
  <r>
    <s v="ORD10446"/>
    <x v="146"/>
    <s v="Swati Kale"/>
    <s v="Swati Kale"/>
    <x v="0"/>
    <s v="Delhi"/>
    <x v="4"/>
    <s v="Bags"/>
    <n v="5"/>
    <n v="0"/>
    <n v="1786.47"/>
    <n v="8932.35"/>
    <n v="3642.75"/>
    <n v="5289.6"/>
    <s v="UPI"/>
    <s v="UPI"/>
  </r>
  <r>
    <s v="ORD10205"/>
    <x v="147"/>
    <s v="Akash Wagh"/>
    <s v="Akash Wagh"/>
    <x v="10"/>
    <s v="Karnataka"/>
    <x v="4"/>
    <s v="Bags"/>
    <n v="2"/>
    <n v="0"/>
    <n v="1774.94"/>
    <n v="3549.88"/>
    <n v="1456.82"/>
    <n v="2093.06"/>
    <s v="Credit Card"/>
    <s v="CREDIT CARD"/>
  </r>
  <r>
    <s v="ORD10429"/>
    <x v="148"/>
    <s v="Amit Verma"/>
    <s v="Amit Verma"/>
    <x v="2"/>
    <s v="Maharashtra"/>
    <x v="7"/>
    <s v="Electronics"/>
    <n v="5"/>
    <n v="0.05"/>
    <n v="22032.85"/>
    <n v="104656.04"/>
    <n v="67629.55"/>
    <n v="37026.49"/>
    <s v="Credit Card"/>
    <s v="CREDIT CARD"/>
  </r>
  <r>
    <s v="ORD10443"/>
    <x v="148"/>
    <s v="Rohan Deshmukh"/>
    <s v="Rohan Deshmukh"/>
    <x v="8"/>
    <s v="Maharashtra"/>
    <x v="0"/>
    <s v="Electronics"/>
    <n v="5"/>
    <n v="0.05"/>
    <n v="11820.24"/>
    <n v="56146.14"/>
    <n v="33076.800000000003"/>
    <n v="23069.34"/>
    <s v="Net Banking"/>
    <s v="NET BANKING"/>
  </r>
  <r>
    <s v="ORD10418"/>
    <x v="148"/>
    <s v="Vivek More"/>
    <s v="Vivek More"/>
    <x v="9"/>
    <s v="Madhya Pradesh"/>
    <x v="3"/>
    <s v="Accessories"/>
    <n v="1"/>
    <n v="0"/>
    <n v="1258.52"/>
    <n v="1258.52"/>
    <n v="342.7"/>
    <n v="915.82"/>
    <s v="Net Banking"/>
    <s v="NET BANKING"/>
  </r>
  <r>
    <s v="ORD10302"/>
    <x v="149"/>
    <s v="Akash Wagh"/>
    <s v="Akash Wagh"/>
    <x v="7"/>
    <s v="Gujarat"/>
    <x v="1"/>
    <s v="Furniture"/>
    <n v="1"/>
    <n v="0.05"/>
    <n v="9120.69"/>
    <n v="8664.66"/>
    <n v="4306.92"/>
    <n v="4357.74"/>
    <s v="Net Banking"/>
    <s v="NET BANKING"/>
  </r>
  <r>
    <s v="ORD10494"/>
    <x v="149"/>
    <s v="Swati Kale"/>
    <s v="Swati Kale"/>
    <x v="2"/>
    <s v="Maharashtra"/>
    <x v="0"/>
    <s v="Electronics"/>
    <n v="4"/>
    <n v="0"/>
    <n v="11494.73"/>
    <n v="45978.92"/>
    <n v="25851.279999999999"/>
    <n v="20127.64"/>
    <s v="UPI"/>
    <s v="UPI"/>
  </r>
  <r>
    <s v="ORD10112"/>
    <x v="150"/>
    <s v="Akash Wagh"/>
    <s v="Akash Wagh"/>
    <x v="6"/>
    <s v="Telangana"/>
    <x v="3"/>
    <s v="Accessories"/>
    <n v="4"/>
    <n v="0.05"/>
    <n v="1162.1400000000001"/>
    <n v="4416.13"/>
    <n v="1371.96"/>
    <n v="3044.17"/>
    <s v="Net Banking"/>
    <s v="NET BANKING"/>
  </r>
  <r>
    <s v="ORD10253"/>
    <x v="150"/>
    <s v="Aditya Joshi"/>
    <s v="Aditya Joshi"/>
    <x v="10"/>
    <s v="Karnataka"/>
    <x v="4"/>
    <s v="Bags"/>
    <n v="4"/>
    <n v="0"/>
    <n v="1736.8"/>
    <n v="6947.2"/>
    <n v="2745.56"/>
    <n v="4201.6400000000003"/>
    <s v="Credit Card"/>
    <s v="CREDIT CARD"/>
  </r>
  <r>
    <s v="ORD10174"/>
    <x v="150"/>
    <s v="Aditya Joshi"/>
    <s v="Aditya Joshi"/>
    <x v="1"/>
    <s v="Maharashtra"/>
    <x v="9"/>
    <s v="Furniture"/>
    <n v="5"/>
    <n v="0.1"/>
    <n v="7619.03"/>
    <n v="34285.64"/>
    <n v="17496.849999999999"/>
    <n v="16788.79"/>
    <s v="UPI"/>
    <s v="UPI"/>
  </r>
  <r>
    <s v="ORD10095"/>
    <x v="151"/>
    <s v="Aditya Joshi"/>
    <s v="Aditya Joshi"/>
    <x v="3"/>
    <s v="Maharashtra"/>
    <x v="2"/>
    <s v="Electronics"/>
    <n v="4"/>
    <n v="0.1"/>
    <n v="50126.82"/>
    <n v="180456.55"/>
    <n v="172960.48"/>
    <n v="7496.07"/>
    <s v="Net Banking"/>
    <s v="NET BANKING"/>
  </r>
  <r>
    <s v="ORD10492"/>
    <x v="152"/>
    <s v="Akash Wagh"/>
    <s v="Akash Wagh"/>
    <x v="8"/>
    <s v="Maharashtra"/>
    <x v="9"/>
    <s v="Furniture"/>
    <n v="4"/>
    <n v="0.1"/>
    <n v="7835.37"/>
    <n v="28207.33"/>
    <n v="14538.8"/>
    <n v="13668.53"/>
    <s v="Debit Card"/>
    <s v="DEBIT CARD"/>
  </r>
  <r>
    <s v="ORD10106"/>
    <x v="152"/>
    <s v="Amit Verma"/>
    <s v="Amit Verma"/>
    <x v="7"/>
    <s v="Gujarat"/>
    <x v="5"/>
    <s v="Furniture"/>
    <n v="2"/>
    <n v="0"/>
    <n v="5746.39"/>
    <n v="11492.78"/>
    <n v="4802.12"/>
    <n v="6690.66"/>
    <s v="UPI"/>
    <s v="UPI"/>
  </r>
  <r>
    <s v="ORD10444"/>
    <x v="153"/>
    <s v="Rohan Deshmukh"/>
    <s v="Rohan Deshmukh"/>
    <x v="5"/>
    <s v="Maharashtra"/>
    <x v="8"/>
    <s v="Electronics"/>
    <n v="4"/>
    <n v="0.05"/>
    <n v="15471.81"/>
    <n v="58792.88"/>
    <n v="34901.919999999998"/>
    <n v="23890.959999999999"/>
    <s v="Net Banking"/>
    <s v="NET BANKING"/>
  </r>
  <r>
    <s v="ORD10122"/>
    <x v="153"/>
    <s v="Aditya Joshi"/>
    <s v="Aditya Joshi"/>
    <x v="1"/>
    <s v="Maharashtra"/>
    <x v="3"/>
    <s v="Accessories"/>
    <n v="3"/>
    <n v="0"/>
    <n v="1155.8699999999999"/>
    <n v="3467.61"/>
    <n v="1092.06"/>
    <n v="2375.5500000000002"/>
    <s v="Debit Card"/>
    <s v="DEBIT CARD"/>
  </r>
  <r>
    <s v="ORD10292"/>
    <x v="153"/>
    <s v="Swati Kale"/>
    <s v="Swati Kale"/>
    <x v="5"/>
    <s v="Maharashtra"/>
    <x v="10"/>
    <s v="Electronics"/>
    <n v="4"/>
    <n v="0"/>
    <n v="17858.599999999999"/>
    <n v="71434.399999999994"/>
    <n v="30486.959999999999"/>
    <n v="40947.440000000002"/>
    <s v="UPI"/>
    <s v="UPI"/>
  </r>
  <r>
    <s v="ORD10187"/>
    <x v="154"/>
    <s v="Riya Shah"/>
    <s v="Riya Shah"/>
    <x v="1"/>
    <s v="Maharashtra"/>
    <x v="0"/>
    <s v="Electronics"/>
    <n v="4"/>
    <n v="0.15"/>
    <n v="12558.14"/>
    <n v="42697.68"/>
    <n v="24712.84"/>
    <n v="17984.84"/>
    <s v="Net Banking"/>
    <s v="NET BANKING"/>
  </r>
  <r>
    <s v="ORD10008"/>
    <x v="154"/>
    <s v="Sagar Mane"/>
    <s v="Sagar Mane"/>
    <x v="9"/>
    <s v="Madhya Pradesh"/>
    <x v="4"/>
    <s v="Bags"/>
    <n v="5"/>
    <n v="0"/>
    <n v="1758.84"/>
    <n v="8794.2000000000007"/>
    <n v="3615.05"/>
    <n v="5179.1499999999996"/>
    <s v="UPI"/>
    <s v="UPI"/>
  </r>
  <r>
    <s v="ORD10129"/>
    <x v="154"/>
    <s v="Amit Verma"/>
    <s v="Amit Verma"/>
    <x v="2"/>
    <s v="Maharashtra"/>
    <x v="4"/>
    <s v="Bags"/>
    <n v="2"/>
    <n v="0.05"/>
    <n v="1771.99"/>
    <n v="3366.78"/>
    <n v="1379.22"/>
    <n v="1987.56"/>
    <s v="Credit Card"/>
    <s v="CREDIT CARD"/>
  </r>
  <r>
    <s v="ORD10362"/>
    <x v="155"/>
    <s v="Sneha Kulkarni"/>
    <s v="Sneha Kulkarni"/>
    <x v="6"/>
    <s v="Telangana"/>
    <x v="4"/>
    <s v="Bags"/>
    <n v="5"/>
    <n v="0"/>
    <n v="1797.13"/>
    <n v="8985.65"/>
    <n v="3586.6"/>
    <n v="5399.05"/>
    <s v="Credit Card"/>
    <s v="CREDIT CARD"/>
  </r>
  <r>
    <s v="ORD10405"/>
    <x v="156"/>
    <s v="Akash Wagh"/>
    <s v="Akash Wagh"/>
    <x v="7"/>
    <s v="Gujarat"/>
    <x v="11"/>
    <s v="Accessories"/>
    <n v="4"/>
    <n v="0"/>
    <n v="1842.82"/>
    <n v="7371.28"/>
    <n v="2449.08"/>
    <n v="4922.2"/>
    <s v="Cash"/>
    <s v="CASH"/>
  </r>
  <r>
    <s v="ORD10176"/>
    <x v="157"/>
    <s v="Kavita Singh"/>
    <s v="Kavita Singh"/>
    <x v="8"/>
    <s v="Maharashtra"/>
    <x v="2"/>
    <s v="Electronics"/>
    <n v="5"/>
    <n v="0.05"/>
    <n v="53262.07"/>
    <n v="252994.83"/>
    <n v="208435.35"/>
    <n v="44559.48"/>
    <s v="Cash"/>
    <s v="CASH"/>
  </r>
  <r>
    <s v="ORD10066"/>
    <x v="157"/>
    <s v="Swati Kale"/>
    <s v="Swati Kale"/>
    <x v="8"/>
    <s v="Maharashtra"/>
    <x v="6"/>
    <s v="Accessories"/>
    <n v="3"/>
    <n v="0.05"/>
    <n v="3512.63"/>
    <n v="10011"/>
    <n v="3531.42"/>
    <n v="6479.58"/>
    <s v="Net Banking"/>
    <s v="NET BANKING"/>
  </r>
  <r>
    <s v="ORD10060"/>
    <x v="157"/>
    <s v="Isha Bhosale"/>
    <s v="Isha Bhosale"/>
    <x v="1"/>
    <s v="Maharashtra"/>
    <x v="5"/>
    <s v="Furniture"/>
    <n v="3"/>
    <n v="0"/>
    <n v="5898.15"/>
    <n v="17694.45"/>
    <n v="7450.83"/>
    <n v="10243.620000000001"/>
    <s v="Cash"/>
    <s v="CASH"/>
  </r>
  <r>
    <s v="ORD10280"/>
    <x v="157"/>
    <s v="Aarav Sharma"/>
    <s v="Aarav Sharma"/>
    <x v="5"/>
    <s v="Maharashtra"/>
    <x v="7"/>
    <s v="Electronics"/>
    <n v="3"/>
    <n v="0"/>
    <n v="22873.81"/>
    <n v="68621.429999999993"/>
    <n v="40609.199999999997"/>
    <n v="28012.23"/>
    <s v="Net Banking"/>
    <s v="NET BANKING"/>
  </r>
  <r>
    <s v="ORD10478"/>
    <x v="157"/>
    <s v="Rohan Deshmukh"/>
    <s v="Rohan Deshmukh"/>
    <x v="10"/>
    <s v="Karnataka"/>
    <x v="1"/>
    <s v="Furniture"/>
    <n v="1"/>
    <n v="0.05"/>
    <n v="8801.4699999999993"/>
    <n v="8361.4"/>
    <n v="4334.24"/>
    <n v="4027.16"/>
    <s v="Cash"/>
    <s v="CASH"/>
  </r>
  <r>
    <s v="ORD10380"/>
    <x v="158"/>
    <s v="Sneha Kulkarni"/>
    <s v="Sneha Kulkarni"/>
    <x v="7"/>
    <s v="Gujarat"/>
    <x v="4"/>
    <s v="Bags"/>
    <n v="5"/>
    <n v="0"/>
    <n v="1741.54"/>
    <n v="8707.7000000000007"/>
    <n v="3628.35"/>
    <n v="5079.3500000000004"/>
    <s v="Net Banking"/>
    <s v="NET BANKING"/>
  </r>
  <r>
    <s v="ORD10153"/>
    <x v="159"/>
    <s v="Sagar Mane"/>
    <s v="Sagar Mane"/>
    <x v="6"/>
    <s v="Telangana"/>
    <x v="10"/>
    <s v="Electronics"/>
    <n v="5"/>
    <n v="0.05"/>
    <n v="17389.37"/>
    <n v="82599.509999999995"/>
    <n v="41271.85"/>
    <n v="41327.660000000003"/>
    <s v="Debit Card"/>
    <s v="DEBIT CARD"/>
  </r>
  <r>
    <s v="ORD10017"/>
    <x v="160"/>
    <s v="Kunal Thakur"/>
    <s v="Kunal Thakur"/>
    <x v="4"/>
    <s v="Maharashtra"/>
    <x v="4"/>
    <s v="Bags"/>
    <n v="3"/>
    <n v="0"/>
    <n v="1801.93"/>
    <n v="5405.79"/>
    <n v="2082.66"/>
    <n v="3323.13"/>
    <s v="Credit Card"/>
    <s v="CREDIT CARD"/>
  </r>
  <r>
    <s v="ORD10490"/>
    <x v="161"/>
    <s v="Kunal Thakur"/>
    <s v="Kunal Thakur"/>
    <x v="2"/>
    <s v="Maharashtra"/>
    <x v="3"/>
    <s v="Accessories"/>
    <n v="5"/>
    <n v="0.05"/>
    <n v="1191.73"/>
    <n v="5660.72"/>
    <n v="1677.8"/>
    <n v="3982.92"/>
    <s v="Debit Card"/>
    <s v="DEBIT CARD"/>
  </r>
  <r>
    <s v="ORD10030"/>
    <x v="162"/>
    <s v="Sagar Mane"/>
    <s v="Sagar Mane"/>
    <x v="5"/>
    <s v="Maharashtra"/>
    <x v="2"/>
    <s v="Electronics"/>
    <n v="4"/>
    <n v="0.05"/>
    <n v="52708.93"/>
    <n v="200293.93"/>
    <n v="163807.76"/>
    <n v="36486.17"/>
    <s v="Debit Card"/>
    <s v="DEBIT CARD"/>
  </r>
  <r>
    <s v="ORD10180"/>
    <x v="163"/>
    <s v="Isha Bhosale"/>
    <s v="Isha Bhosale"/>
    <x v="10"/>
    <s v="Karnataka"/>
    <x v="1"/>
    <s v="Furniture"/>
    <n v="5"/>
    <n v="0.1"/>
    <n v="8993.0499999999993"/>
    <n v="40468.720000000001"/>
    <n v="21931.25"/>
    <n v="18537.47"/>
    <s v="Credit Card"/>
    <s v="CREDIT CARD"/>
  </r>
  <r>
    <s v="ORD10233"/>
    <x v="164"/>
    <s v="Rohan Deshmukh"/>
    <s v="Rohan Deshmukh"/>
    <x v="1"/>
    <s v="Maharashtra"/>
    <x v="6"/>
    <s v="Accessories"/>
    <n v="5"/>
    <n v="0.05"/>
    <n v="3377.52"/>
    <n v="16043.22"/>
    <n v="5894.8"/>
    <n v="10148.42"/>
    <s v="UPI"/>
    <s v="UPI"/>
  </r>
  <r>
    <s v="ORD10451"/>
    <x v="164"/>
    <s v="Rahul Pawar"/>
    <s v="Rahul Pawar"/>
    <x v="10"/>
    <s v="Karnataka"/>
    <x v="5"/>
    <s v="Furniture"/>
    <n v="2"/>
    <n v="0.1"/>
    <n v="5957.39"/>
    <n v="10723.3"/>
    <n v="4850.54"/>
    <n v="5872.76"/>
    <s v="Net Banking"/>
    <s v="NET BANKING"/>
  </r>
  <r>
    <s v="ORD10430"/>
    <x v="165"/>
    <s v="Amit Verma"/>
    <s v="Amit Verma"/>
    <x v="7"/>
    <s v="Gujarat"/>
    <x v="8"/>
    <s v="Electronics"/>
    <n v="2"/>
    <n v="0"/>
    <n v="15368.55"/>
    <n v="30737.1"/>
    <n v="17500.259999999998"/>
    <n v="13236.84"/>
    <s v="Credit Card"/>
    <s v="CREDIT CARD"/>
  </r>
  <r>
    <s v="ORD10469"/>
    <x v="166"/>
    <s v="Pooja Shinde"/>
    <s v="Pooja Shinde"/>
    <x v="10"/>
    <s v="Karnataka"/>
    <x v="11"/>
    <s v="Accessories"/>
    <n v="4"/>
    <n v="0.15"/>
    <n v="1846.67"/>
    <n v="6278.68"/>
    <n v="2512.2800000000002"/>
    <n v="3766.4"/>
    <s v="Debit Card"/>
    <s v="DEBIT CARD"/>
  </r>
  <r>
    <s v="ORD10487"/>
    <x v="167"/>
    <s v="Meera Desai"/>
    <s v="Meera Desai"/>
    <x v="2"/>
    <s v="Maharashtra"/>
    <x v="3"/>
    <s v="Accessories"/>
    <n v="1"/>
    <n v="0.1"/>
    <n v="1230.45"/>
    <n v="1107.4000000000001"/>
    <n v="340.04"/>
    <n v="767.36"/>
    <s v="UPI"/>
    <s v="UPI"/>
  </r>
  <r>
    <s v="ORD10121"/>
    <x v="167"/>
    <s v="Rahul Pawar"/>
    <s v="Rahul Pawar"/>
    <x v="1"/>
    <s v="Maharashtra"/>
    <x v="1"/>
    <s v="Furniture"/>
    <n v="1"/>
    <n v="0.05"/>
    <n v="9011.2099999999991"/>
    <n v="8560.65"/>
    <n v="4608.76"/>
    <n v="3951.89"/>
    <s v="UPI"/>
    <s v="UPI"/>
  </r>
  <r>
    <s v="ORD10387"/>
    <x v="168"/>
    <s v="Vivek More"/>
    <s v="Vivek More"/>
    <x v="5"/>
    <s v="Maharashtra"/>
    <x v="6"/>
    <s v="Accessories"/>
    <n v="3"/>
    <n v="0.1"/>
    <n v="3343.17"/>
    <n v="9026.56"/>
    <n v="3488.79"/>
    <n v="5537.77"/>
    <s v="Net Banking"/>
    <s v="NET BANKING"/>
  </r>
  <r>
    <s v="ORD10389"/>
    <x v="169"/>
    <s v="Swati Kale"/>
    <s v="Swati Kale"/>
    <x v="4"/>
    <s v="Maharashtra"/>
    <x v="3"/>
    <s v="Accessories"/>
    <n v="4"/>
    <n v="0.15"/>
    <n v="1230.51"/>
    <n v="4183.7299999999996"/>
    <n v="1385.04"/>
    <n v="2798.69"/>
    <s v="Debit Card"/>
    <s v="DEBIT CARD"/>
  </r>
  <r>
    <s v="ORD10231"/>
    <x v="170"/>
    <s v="Sagar Mane"/>
    <s v="Sagar Mane"/>
    <x v="9"/>
    <s v="Madhya Pradesh"/>
    <x v="0"/>
    <s v="Electronics"/>
    <n v="2"/>
    <n v="0"/>
    <n v="12142.74"/>
    <n v="24285.48"/>
    <n v="12770.56"/>
    <n v="11514.92"/>
    <s v="Net Banking"/>
    <s v="NET BANKING"/>
  </r>
  <r>
    <s v="ORD10049"/>
    <x v="170"/>
    <s v="Rohan Deshmukh"/>
    <s v="Rohan Deshmukh"/>
    <x v="3"/>
    <s v="Maharashtra"/>
    <x v="5"/>
    <s v="Furniture"/>
    <n v="5"/>
    <n v="0"/>
    <n v="5760.47"/>
    <n v="28802.35"/>
    <n v="11897.8"/>
    <n v="16904.55"/>
    <s v="UPI"/>
    <s v="UPI"/>
  </r>
  <r>
    <s v="ORD10143"/>
    <x v="171"/>
    <s v="Sagar Mane"/>
    <s v="Sagar Mane"/>
    <x v="5"/>
    <s v="Maharashtra"/>
    <x v="7"/>
    <s v="Electronics"/>
    <n v="1"/>
    <n v="0.05"/>
    <n v="21042.97"/>
    <n v="19990.82"/>
    <n v="13862.21"/>
    <n v="6128.61"/>
    <s v="Credit Card"/>
    <s v="CREDIT CARD"/>
  </r>
  <r>
    <s v="ORD10230"/>
    <x v="172"/>
    <s v="Neha Jadhav"/>
    <s v="Neha Jadhav"/>
    <x v="0"/>
    <s v="Delhi"/>
    <x v="5"/>
    <s v="Furniture"/>
    <n v="5"/>
    <n v="0"/>
    <n v="6278.29"/>
    <n v="31391.45"/>
    <n v="12185.75"/>
    <n v="19205.7"/>
    <s v="Net Banking"/>
    <s v="NET BANKING"/>
  </r>
  <r>
    <s v="ORD10428"/>
    <x v="173"/>
    <s v="Pooja Shinde"/>
    <s v="Pooja Shinde"/>
    <x v="2"/>
    <s v="Maharashtra"/>
    <x v="11"/>
    <s v="Accessories"/>
    <n v="5"/>
    <n v="0.05"/>
    <n v="1779.26"/>
    <n v="8451.48"/>
    <n v="2996.8"/>
    <n v="5454.68"/>
    <s v="Net Banking"/>
    <s v="NET BANKING"/>
  </r>
  <r>
    <s v="ORD10372"/>
    <x v="173"/>
    <s v="Pooja Shinde"/>
    <s v="Pooja Shinde"/>
    <x v="1"/>
    <s v="Maharashtra"/>
    <x v="10"/>
    <s v="Electronics"/>
    <n v="5"/>
    <n v="0.1"/>
    <n v="18828.240000000002"/>
    <n v="84727.08"/>
    <n v="40085.85"/>
    <n v="44641.23"/>
    <s v="Net Banking"/>
    <s v="NET BANKING"/>
  </r>
  <r>
    <s v="ORD10288"/>
    <x v="173"/>
    <s v="Rohan Deshmukh"/>
    <s v="Rohan Deshmukh"/>
    <x v="2"/>
    <s v="Maharashtra"/>
    <x v="8"/>
    <s v="Electronics"/>
    <n v="4"/>
    <n v="0.05"/>
    <n v="15467.41"/>
    <n v="58776.160000000003"/>
    <n v="36559"/>
    <n v="22217.16"/>
    <s v="Cash"/>
    <s v="CASH"/>
  </r>
  <r>
    <s v="ORD10493"/>
    <x v="173"/>
    <s v="Meera Desai"/>
    <s v="Meera Desai"/>
    <x v="8"/>
    <s v="Maharashtra"/>
    <x v="6"/>
    <s v="Accessories"/>
    <n v="2"/>
    <n v="0.05"/>
    <n v="3562.34"/>
    <n v="6768.45"/>
    <n v="2410.3200000000002"/>
    <n v="4358.13"/>
    <s v="Debit Card"/>
    <s v="DEBIT CARD"/>
  </r>
  <r>
    <s v="ORD10376"/>
    <x v="174"/>
    <s v="Priya Patil"/>
    <s v="Priya Patil"/>
    <x v="7"/>
    <s v="Gujarat"/>
    <x v="4"/>
    <s v="Bags"/>
    <n v="5"/>
    <n v="0.05"/>
    <n v="1829.24"/>
    <n v="8688.89"/>
    <n v="3366.5"/>
    <n v="5322.39"/>
    <s v="Debit Card"/>
    <s v="DEBIT CARD"/>
  </r>
  <r>
    <s v="ORD10500"/>
    <x v="175"/>
    <s v="Meera Desai"/>
    <s v="Meera Desai"/>
    <x v="9"/>
    <s v="Madhya Pradesh"/>
    <x v="3"/>
    <s v="Accessories"/>
    <n v="5"/>
    <n v="0.05"/>
    <n v="1203.77"/>
    <n v="5717.91"/>
    <n v="1712.9"/>
    <n v="4005.01"/>
    <s v="Cash"/>
    <s v="CASH"/>
  </r>
  <r>
    <s v="ORD10325"/>
    <x v="175"/>
    <s v="Akash Wagh"/>
    <s v="Akash Wagh"/>
    <x v="3"/>
    <s v="Maharashtra"/>
    <x v="3"/>
    <s v="Accessories"/>
    <n v="5"/>
    <n v="0.1"/>
    <n v="1192.8499999999999"/>
    <n v="5367.82"/>
    <n v="1715.4"/>
    <n v="3652.42"/>
    <s v="Net Banking"/>
    <s v="NET BANKING"/>
  </r>
  <r>
    <s v="ORD10057"/>
    <x v="176"/>
    <s v="Neha Jadhav"/>
    <s v="Neha Jadhav"/>
    <x v="2"/>
    <s v="Maharashtra"/>
    <x v="10"/>
    <s v="Electronics"/>
    <n v="3"/>
    <n v="0"/>
    <n v="17357.39"/>
    <n v="52072.17"/>
    <n v="24627.63"/>
    <n v="27444.54"/>
    <s v="Net Banking"/>
    <s v="NET BANKING"/>
  </r>
  <r>
    <s v="ORD10276"/>
    <x v="177"/>
    <s v="Rohan Deshmukh"/>
    <s v="Rohan Deshmukh"/>
    <x v="10"/>
    <s v="Karnataka"/>
    <x v="4"/>
    <s v="Bags"/>
    <n v="2"/>
    <n v="0.1"/>
    <n v="1810.44"/>
    <n v="3258.79"/>
    <n v="1407.36"/>
    <n v="1851.43"/>
    <s v="Cash"/>
    <s v="CASH"/>
  </r>
  <r>
    <s v="ORD10374"/>
    <x v="178"/>
    <s v="Amit Verma"/>
    <s v="Amit Verma"/>
    <x v="9"/>
    <s v="Madhya Pradesh"/>
    <x v="3"/>
    <s v="Accessories"/>
    <n v="4"/>
    <n v="0"/>
    <n v="1141.08"/>
    <n v="4564.32"/>
    <n v="1380"/>
    <n v="3184.32"/>
    <s v="Net Banking"/>
    <s v="NET BANKING"/>
  </r>
  <r>
    <s v="ORD10115"/>
    <x v="178"/>
    <s v="Pooja Shinde"/>
    <s v="Pooja Shinde"/>
    <x v="6"/>
    <s v="Telangana"/>
    <x v="7"/>
    <s v="Electronics"/>
    <n v="5"/>
    <n v="0"/>
    <n v="22113.79"/>
    <n v="110568.95"/>
    <n v="68277.2"/>
    <n v="42291.75"/>
    <s v="UPI"/>
    <s v="UPI"/>
  </r>
  <r>
    <s v="ORD10222"/>
    <x v="179"/>
    <s v="Anjali Chavan"/>
    <s v="Anjali Chavan"/>
    <x v="1"/>
    <s v="Maharashtra"/>
    <x v="8"/>
    <s v="Electronics"/>
    <n v="2"/>
    <n v="0"/>
    <n v="15557.78"/>
    <n v="31115.56"/>
    <n v="18823.18"/>
    <n v="12292.38"/>
    <s v="UPI"/>
    <s v="UPI"/>
  </r>
  <r>
    <s v="ORD10012"/>
    <x v="180"/>
    <s v="Aditya Joshi"/>
    <s v="Aditya Joshi"/>
    <x v="3"/>
    <s v="Maharashtra"/>
    <x v="9"/>
    <s v="Furniture"/>
    <n v="3"/>
    <n v="0.05"/>
    <n v="7412.2"/>
    <n v="21124.77"/>
    <n v="10995.3"/>
    <n v="10129.469999999999"/>
    <s v="Credit Card"/>
    <s v="CREDIT CARD"/>
  </r>
  <r>
    <s v="ORD10311"/>
    <x v="181"/>
    <s v="Vivek More"/>
    <s v="Vivek More"/>
    <x v="7"/>
    <s v="Gujarat"/>
    <x v="9"/>
    <s v="Furniture"/>
    <n v="4"/>
    <n v="0.1"/>
    <n v="7428.18"/>
    <n v="26741.45"/>
    <n v="13749.52"/>
    <n v="12991.93"/>
    <s v="Credit Card"/>
    <s v="CREDIT CARD"/>
  </r>
  <r>
    <s v="ORD10371"/>
    <x v="182"/>
    <s v="Kavita Singh"/>
    <s v="Kavita Singh"/>
    <x v="9"/>
    <s v="Madhya Pradesh"/>
    <x v="4"/>
    <s v="Bags"/>
    <n v="2"/>
    <n v="0.05"/>
    <n v="1723.15"/>
    <n v="3273.98"/>
    <n v="1417.12"/>
    <n v="1856.86"/>
    <s v="Debit Card"/>
    <s v="DEBIT CARD"/>
  </r>
  <r>
    <s v="ORD10282"/>
    <x v="182"/>
    <s v="Neha Jadhav"/>
    <s v="Neha Jadhav"/>
    <x v="1"/>
    <s v="Maharashtra"/>
    <x v="10"/>
    <s v="Electronics"/>
    <n v="1"/>
    <n v="0"/>
    <n v="18871.400000000001"/>
    <n v="18871.400000000001"/>
    <n v="8134.34"/>
    <n v="10737.06"/>
    <s v="Credit Card"/>
    <s v="CREDIT CARD"/>
  </r>
  <r>
    <s v="ORD10119"/>
    <x v="183"/>
    <s v="Aditya Joshi"/>
    <s v="Aditya Joshi"/>
    <x v="8"/>
    <s v="Maharashtra"/>
    <x v="6"/>
    <s v="Accessories"/>
    <n v="3"/>
    <n v="0"/>
    <n v="3457.89"/>
    <n v="10373.67"/>
    <n v="3632.52"/>
    <n v="6741.15"/>
    <s v="UPI"/>
    <s v="UPI"/>
  </r>
  <r>
    <s v="ORD10181"/>
    <x v="183"/>
    <s v="Aarav Sharma"/>
    <s v="Aarav Sharma"/>
    <x v="4"/>
    <s v="Maharashtra"/>
    <x v="1"/>
    <s v="Furniture"/>
    <n v="1"/>
    <n v="0"/>
    <n v="9422.4699999999993"/>
    <n v="9422.4699999999993"/>
    <n v="4391.16"/>
    <n v="5031.3100000000004"/>
    <s v="Cash"/>
    <s v="CASH"/>
  </r>
  <r>
    <s v="ORD10150"/>
    <x v="184"/>
    <s v="Kunal Thakur"/>
    <s v="Kunal Thakur"/>
    <x v="2"/>
    <s v="Maharashtra"/>
    <x v="8"/>
    <s v="Electronics"/>
    <n v="2"/>
    <n v="0.05"/>
    <n v="16259.38"/>
    <n v="30892.82"/>
    <n v="18078.8"/>
    <n v="12814.02"/>
    <s v="Cash"/>
    <s v="CASH"/>
  </r>
  <r>
    <s v="ORD10144"/>
    <x v="184"/>
    <s v="Aditya Joshi"/>
    <s v="Aditya Joshi"/>
    <x v="10"/>
    <s v="Karnataka"/>
    <x v="10"/>
    <s v="Electronics"/>
    <n v="2"/>
    <n v="0"/>
    <n v="17166.12"/>
    <n v="34332.239999999998"/>
    <n v="16731.64"/>
    <n v="17600.599999999999"/>
    <s v="Net Banking"/>
    <s v="NET BANKING"/>
  </r>
  <r>
    <s v="ORD10202"/>
    <x v="185"/>
    <s v="Kavita Singh"/>
    <s v="Kavita Singh"/>
    <x v="0"/>
    <s v="Delhi"/>
    <x v="6"/>
    <s v="Accessories"/>
    <n v="2"/>
    <n v="0"/>
    <n v="3666.85"/>
    <n v="7333.7"/>
    <n v="2477.56"/>
    <n v="4856.1400000000003"/>
    <s v="Credit Card"/>
    <s v="CREDIT CARD"/>
  </r>
  <r>
    <s v="ORD10209"/>
    <x v="185"/>
    <s v="Riya Shah"/>
    <s v="Riya Shah"/>
    <x v="3"/>
    <s v="Maharashtra"/>
    <x v="4"/>
    <s v="Bags"/>
    <n v="5"/>
    <n v="0.05"/>
    <n v="1799.42"/>
    <n v="8547.25"/>
    <n v="3670.7"/>
    <n v="4876.55"/>
    <s v="Debit Card"/>
    <s v="DEBIT CARD"/>
  </r>
  <r>
    <s v="ORD10466"/>
    <x v="186"/>
    <s v="Nikhil Gupta"/>
    <s v="Nikhil Gupta"/>
    <x v="7"/>
    <s v="Gujarat"/>
    <x v="8"/>
    <s v="Electronics"/>
    <n v="4"/>
    <n v="0"/>
    <n v="16305.94"/>
    <n v="65223.76"/>
    <n v="36370.959999999999"/>
    <n v="28852.799999999999"/>
    <s v="Net Banking"/>
    <s v="NET BANKING"/>
  </r>
  <r>
    <s v="ORD10226"/>
    <x v="187"/>
    <s v="Priya Patil"/>
    <s v="Priya Patil"/>
    <x v="3"/>
    <s v="Maharashtra"/>
    <x v="10"/>
    <s v="Electronics"/>
    <n v="2"/>
    <n v="0.05"/>
    <n v="17373.64"/>
    <n v="33009.919999999998"/>
    <n v="15298.16"/>
    <n v="17711.759999999998"/>
    <s v="Debit Card"/>
    <s v="DEBIT CARD"/>
  </r>
  <r>
    <s v="ORD10379"/>
    <x v="187"/>
    <s v="Amit Verma"/>
    <s v="Amit Verma"/>
    <x v="6"/>
    <s v="Telangana"/>
    <x v="2"/>
    <s v="Electronics"/>
    <n v="2"/>
    <n v="0.1"/>
    <n v="53962.25"/>
    <n v="97132.05"/>
    <n v="87984.72"/>
    <n v="9147.33"/>
    <s v="UPI"/>
    <s v="UPI"/>
  </r>
  <r>
    <s v="ORD10139"/>
    <x v="187"/>
    <s v="Rahul Pawar"/>
    <s v="Rahul Pawar"/>
    <x v="7"/>
    <s v="Gujarat"/>
    <x v="2"/>
    <s v="Electronics"/>
    <n v="5"/>
    <n v="0"/>
    <n v="51894.86"/>
    <n v="259474.3"/>
    <n v="211695.9"/>
    <n v="47778.400000000001"/>
    <s v="Cash"/>
    <s v="CASH"/>
  </r>
  <r>
    <s v="ORD10126"/>
    <x v="188"/>
    <s v="Pooja Shinde"/>
    <s v="Pooja Shinde"/>
    <x v="4"/>
    <s v="Maharashtra"/>
    <x v="5"/>
    <s v="Furniture"/>
    <n v="3"/>
    <n v="0"/>
    <n v="5754.2"/>
    <n v="17262.599999999999"/>
    <n v="7703.25"/>
    <n v="9559.35"/>
    <s v="Debit Card"/>
    <s v="DEBIT CARD"/>
  </r>
  <r>
    <s v="ORD10072"/>
    <x v="189"/>
    <s v="Aarav Sharma"/>
    <s v="Aarav Sharma"/>
    <x v="1"/>
    <s v="Maharashtra"/>
    <x v="9"/>
    <s v="Furniture"/>
    <n v="2"/>
    <n v="0.05"/>
    <n v="7482.16"/>
    <n v="14216.1"/>
    <n v="7231.96"/>
    <n v="6984.14"/>
    <s v="Cash"/>
    <s v="CASH"/>
  </r>
  <r>
    <s v="ORD10483"/>
    <x v="190"/>
    <s v="Rahul Pawar"/>
    <s v="Rahul Pawar"/>
    <x v="0"/>
    <s v="Delhi"/>
    <x v="10"/>
    <s v="Electronics"/>
    <n v="5"/>
    <n v="0.1"/>
    <n v="18197.89"/>
    <n v="81890.5"/>
    <n v="41698.1"/>
    <n v="40192.400000000001"/>
    <s v="Net Banking"/>
    <s v="NET BANKING"/>
  </r>
  <r>
    <s v="ORD10445"/>
    <x v="190"/>
    <s v="Amit Verma"/>
    <s v="Amit Verma"/>
    <x v="9"/>
    <s v="Madhya Pradesh"/>
    <x v="0"/>
    <s v="Electronics"/>
    <n v="4"/>
    <n v="0.1"/>
    <n v="12049.98"/>
    <n v="43379.93"/>
    <n v="26671.48"/>
    <n v="16708.45"/>
    <s v="Debit Card"/>
    <s v="DEBIT CARD"/>
  </r>
  <r>
    <s v="ORD10477"/>
    <x v="191"/>
    <s v="Sneha Kulkarni"/>
    <s v="Sneha Kulkarni"/>
    <x v="9"/>
    <s v="Madhya Pradesh"/>
    <x v="2"/>
    <s v="Electronics"/>
    <n v="1"/>
    <n v="0"/>
    <n v="52352.18"/>
    <n v="52352.18"/>
    <n v="42333.120000000003"/>
    <n v="10019.06"/>
    <s v="Cash"/>
    <s v="CASH"/>
  </r>
  <r>
    <s v="ORD10396"/>
    <x v="191"/>
    <s v="Priya Patil"/>
    <s v="Priya Patil"/>
    <x v="2"/>
    <s v="Maharashtra"/>
    <x v="2"/>
    <s v="Electronics"/>
    <n v="3"/>
    <n v="0.1"/>
    <n v="50046.79"/>
    <n v="135126.32999999999"/>
    <n v="129749.1"/>
    <n v="5377.23"/>
    <s v="Net Banking"/>
    <s v="NET BANKING"/>
  </r>
  <r>
    <s v="ORD10497"/>
    <x v="192"/>
    <s v="Rohan Deshmukh"/>
    <s v="Rohan Deshmukh"/>
    <x v="2"/>
    <s v="Maharashtra"/>
    <x v="8"/>
    <s v="Electronics"/>
    <n v="3"/>
    <n v="0"/>
    <n v="15383.68"/>
    <n v="46151.040000000001"/>
    <n v="28192.14"/>
    <n v="17958.900000000001"/>
    <s v="Cash"/>
    <s v="CASH"/>
  </r>
  <r>
    <s v="ORD10392"/>
    <x v="192"/>
    <s v="Rahul Pawar"/>
    <s v="Rahul Pawar"/>
    <x v="10"/>
    <s v="Karnataka"/>
    <x v="4"/>
    <s v="Bags"/>
    <n v="3"/>
    <n v="0"/>
    <n v="1877.93"/>
    <n v="5633.79"/>
    <n v="2168.79"/>
    <n v="3465"/>
    <s v="Debit Card"/>
    <s v="DEBIT CARD"/>
  </r>
  <r>
    <s v="ORD10437"/>
    <x v="192"/>
    <s v="Rohan Deshmukh"/>
    <s v="Rohan Deshmukh"/>
    <x v="3"/>
    <s v="Maharashtra"/>
    <x v="5"/>
    <s v="Furniture"/>
    <n v="3"/>
    <n v="0"/>
    <n v="6018.95"/>
    <n v="18056.849999999999"/>
    <n v="7507.92"/>
    <n v="10548.93"/>
    <s v="Debit Card"/>
    <s v="DEBIT CARD"/>
  </r>
  <r>
    <s v="ORD10217"/>
    <x v="193"/>
    <s v="Kavita Singh"/>
    <s v="Kavita Singh"/>
    <x v="2"/>
    <s v="Maharashtra"/>
    <x v="11"/>
    <s v="Accessories"/>
    <n v="4"/>
    <n v="0.05"/>
    <n v="1726.04"/>
    <n v="6558.95"/>
    <n v="2461.2800000000002"/>
    <n v="4097.67"/>
    <s v="Cash"/>
    <s v="CASH"/>
  </r>
  <r>
    <s v="ORD10287"/>
    <x v="193"/>
    <s v="Priya Patil"/>
    <s v="Priya Patil"/>
    <x v="8"/>
    <s v="Maharashtra"/>
    <x v="11"/>
    <s v="Accessories"/>
    <n v="4"/>
    <n v="0.05"/>
    <n v="1886.24"/>
    <n v="7167.71"/>
    <n v="2432.1999999999998"/>
    <n v="4735.51"/>
    <s v="Credit Card"/>
    <s v="CREDIT CARD"/>
  </r>
  <r>
    <s v="ORD10482"/>
    <x v="194"/>
    <s v="Pooja Shinde"/>
    <s v="Pooja Shinde"/>
    <x v="2"/>
    <s v="Maharashtra"/>
    <x v="7"/>
    <s v="Electronics"/>
    <n v="1"/>
    <n v="0.05"/>
    <n v="22550.58"/>
    <n v="21423.05"/>
    <n v="13512.87"/>
    <n v="7910.18"/>
    <s v="Credit Card"/>
    <s v="CREDIT CARD"/>
  </r>
  <r>
    <s v="ORD10255"/>
    <x v="194"/>
    <s v="Rahul Pawar"/>
    <s v="Rahul Pawar"/>
    <x v="8"/>
    <s v="Maharashtra"/>
    <x v="3"/>
    <s v="Accessories"/>
    <n v="5"/>
    <n v="0"/>
    <n v="1160.03"/>
    <n v="5800.15"/>
    <n v="1694.25"/>
    <n v="4105.8999999999996"/>
    <s v="Cash"/>
    <s v="CASH"/>
  </r>
  <r>
    <s v="ORD10346"/>
    <x v="195"/>
    <s v="Neha Jadhav"/>
    <s v="Neha Jadhav"/>
    <x v="9"/>
    <s v="Madhya Pradesh"/>
    <x v="5"/>
    <s v="Furniture"/>
    <n v="1"/>
    <n v="0"/>
    <n v="5700.08"/>
    <n v="5700.08"/>
    <n v="2502.7800000000002"/>
    <n v="3197.3"/>
    <s v="UPI"/>
    <s v="UPI"/>
  </r>
  <r>
    <s v="ORD10200"/>
    <x v="196"/>
    <s v="Priya Patil"/>
    <s v="Priya Patil"/>
    <x v="5"/>
    <s v="Maharashtra"/>
    <x v="5"/>
    <s v="Furniture"/>
    <n v="1"/>
    <n v="0.05"/>
    <n v="5928.04"/>
    <n v="5631.64"/>
    <n v="2424.29"/>
    <n v="3207.35"/>
    <s v="Net Banking"/>
    <s v="NET BANKING"/>
  </r>
  <r>
    <s v="ORD10300"/>
    <x v="197"/>
    <s v="Kunal Thakur"/>
    <s v="Kunal Thakur"/>
    <x v="5"/>
    <s v="Maharashtra"/>
    <x v="8"/>
    <s v="Electronics"/>
    <n v="2"/>
    <n v="0"/>
    <n v="15472.93"/>
    <n v="30945.86"/>
    <n v="18806.599999999999"/>
    <n v="12139.26"/>
    <s v="Cash"/>
    <s v="CASH"/>
  </r>
  <r>
    <s v="ORD10306"/>
    <x v="198"/>
    <s v="Kunal Thakur"/>
    <s v="Kunal Thakur"/>
    <x v="10"/>
    <s v="Karnataka"/>
    <x v="3"/>
    <s v="Accessories"/>
    <n v="1"/>
    <n v="0"/>
    <n v="1150.45"/>
    <n v="1150.45"/>
    <n v="354.1"/>
    <n v="796.35"/>
    <s v="Debit Card"/>
    <s v="DEBIT CARD"/>
  </r>
  <r>
    <s v="ORD10274"/>
    <x v="198"/>
    <s v="Isha Bhosale"/>
    <s v="Isha Bhosale"/>
    <x v="6"/>
    <s v="Telangana"/>
    <x v="10"/>
    <s v="Electronics"/>
    <n v="2"/>
    <n v="0.15"/>
    <n v="18529.18"/>
    <n v="31499.61"/>
    <n v="15995.6"/>
    <n v="15504.01"/>
    <s v="Credit Card"/>
    <s v="CREDIT CARD"/>
  </r>
  <r>
    <s v="ORD10367"/>
    <x v="198"/>
    <s v="Meera Desai"/>
    <s v="Meera Desai"/>
    <x v="9"/>
    <s v="Madhya Pradesh"/>
    <x v="9"/>
    <s v="Furniture"/>
    <n v="1"/>
    <n v="0.15"/>
    <n v="7522.24"/>
    <n v="6393.9"/>
    <n v="3409.66"/>
    <n v="2984.24"/>
    <s v="Net Banking"/>
    <s v="NET BANKING"/>
  </r>
  <r>
    <s v="ORD10375"/>
    <x v="199"/>
    <s v="Aditya Joshi"/>
    <s v="Aditya Joshi"/>
    <x v="0"/>
    <s v="Delhi"/>
    <x v="9"/>
    <s v="Furniture"/>
    <n v="2"/>
    <n v="0"/>
    <n v="7761.03"/>
    <n v="15522.06"/>
    <n v="7160.2"/>
    <n v="8361.86"/>
    <s v="Debit Card"/>
    <s v="DEBIT CARD"/>
  </r>
  <r>
    <s v="ORD10155"/>
    <x v="199"/>
    <s v="Sneha Kulkarni"/>
    <s v="Sneha Kulkarni"/>
    <x v="4"/>
    <s v="Maharashtra"/>
    <x v="1"/>
    <s v="Furniture"/>
    <n v="2"/>
    <n v="0"/>
    <n v="9306.11"/>
    <n v="18612.22"/>
    <n v="8902.94"/>
    <n v="9709.2800000000007"/>
    <s v="Cash"/>
    <s v="CASH"/>
  </r>
  <r>
    <s v="ORD10471"/>
    <x v="199"/>
    <s v="Priya Patil"/>
    <s v="Priya Patil"/>
    <x v="10"/>
    <s v="Karnataka"/>
    <x v="11"/>
    <s v="Accessories"/>
    <n v="2"/>
    <n v="0.1"/>
    <n v="1736.45"/>
    <n v="3125.61"/>
    <n v="1181.1199999999999"/>
    <n v="1944.49"/>
    <s v="Debit Card"/>
    <s v="DEBIT CARD"/>
  </r>
  <r>
    <s v="ORD10286"/>
    <x v="200"/>
    <s v="Swati Kale"/>
    <s v="Swati Kale"/>
    <x v="0"/>
    <s v="Delhi"/>
    <x v="8"/>
    <s v="Electronics"/>
    <n v="4"/>
    <n v="0.1"/>
    <n v="16383.47"/>
    <n v="58980.49"/>
    <n v="34888.519999999997"/>
    <n v="24091.97"/>
    <s v="UPI"/>
    <s v="UPI"/>
  </r>
  <r>
    <s v="ORD10194"/>
    <x v="200"/>
    <s v="Kunal Thakur"/>
    <s v="Kunal Thakur"/>
    <x v="7"/>
    <s v="Gujarat"/>
    <x v="3"/>
    <s v="Accessories"/>
    <n v="4"/>
    <n v="0.05"/>
    <n v="1236.94"/>
    <n v="4700.37"/>
    <n v="1436.72"/>
    <n v="3263.65"/>
    <s v="Net Banking"/>
    <s v="NET BANKING"/>
  </r>
  <r>
    <s v="ORD10350"/>
    <x v="201"/>
    <s v="Vivek More"/>
    <s v="Vivek More"/>
    <x v="2"/>
    <s v="Maharashtra"/>
    <x v="11"/>
    <s v="Accessories"/>
    <n v="3"/>
    <n v="0.05"/>
    <n v="1883.89"/>
    <n v="5369.09"/>
    <n v="1846.98"/>
    <n v="3522.11"/>
    <s v="Net Banking"/>
    <s v="NET BANKING"/>
  </r>
  <r>
    <s v="ORD10102"/>
    <x v="202"/>
    <s v="Amit Verma"/>
    <s v="Amit Verma"/>
    <x v="8"/>
    <s v="Maharashtra"/>
    <x v="5"/>
    <s v="Furniture"/>
    <n v="5"/>
    <n v="0.05"/>
    <n v="6084.69"/>
    <n v="28902.28"/>
    <n v="12742.45"/>
    <n v="16159.83"/>
    <s v="Debit Card"/>
    <s v="DEBIT CARD"/>
  </r>
  <r>
    <s v="ORD10496"/>
    <x v="202"/>
    <s v="Isha Bhosale"/>
    <s v="Isha Bhosale"/>
    <x v="7"/>
    <s v="Gujarat"/>
    <x v="4"/>
    <s v="Bags"/>
    <n v="2"/>
    <n v="0"/>
    <n v="1710.9"/>
    <n v="3421.8"/>
    <n v="1338.42"/>
    <n v="2083.38"/>
    <s v="Credit Card"/>
    <s v="CREDIT CARD"/>
  </r>
  <r>
    <s v="ORD10435"/>
    <x v="202"/>
    <s v="Swati Kale"/>
    <s v="Swati Kale"/>
    <x v="0"/>
    <s v="Delhi"/>
    <x v="10"/>
    <s v="Electronics"/>
    <n v="1"/>
    <n v="0.05"/>
    <n v="17834.61"/>
    <n v="16942.88"/>
    <n v="8308.5"/>
    <n v="8634.3799999999992"/>
    <s v="UPI"/>
    <s v="UPI"/>
  </r>
  <r>
    <s v="ORD10016"/>
    <x v="203"/>
    <s v="Isha Bhosale"/>
    <s v="Isha Bhosale"/>
    <x v="2"/>
    <s v="Maharashtra"/>
    <x v="6"/>
    <s v="Accessories"/>
    <n v="3"/>
    <n v="0"/>
    <n v="3367.73"/>
    <n v="10103.19"/>
    <n v="3548.28"/>
    <n v="6554.91"/>
    <s v="Net Banking"/>
    <s v="NET BANKING"/>
  </r>
  <r>
    <s v="ORD10323"/>
    <x v="204"/>
    <s v="Sagar Mane"/>
    <s v="Sagar Mane"/>
    <x v="7"/>
    <s v="Gujarat"/>
    <x v="5"/>
    <s v="Furniture"/>
    <n v="5"/>
    <n v="0.05"/>
    <n v="5966.48"/>
    <n v="28340.78"/>
    <n v="13118.55"/>
    <n v="15222.23"/>
    <s v="Debit Card"/>
    <s v="DEBIT CARD"/>
  </r>
  <r>
    <s v="ORD10484"/>
    <x v="205"/>
    <s v="Rahul Pawar"/>
    <s v="Rahul Pawar"/>
    <x v="1"/>
    <s v="Maharashtra"/>
    <x v="2"/>
    <s v="Electronics"/>
    <n v="4"/>
    <n v="0.1"/>
    <n v="50203.360000000001"/>
    <n v="180732.1"/>
    <n v="167786.04"/>
    <n v="12946.06"/>
    <s v="Net Banking"/>
    <s v="NET BANKING"/>
  </r>
  <r>
    <s v="ORD10480"/>
    <x v="206"/>
    <s v="Aditya Joshi"/>
    <s v="Aditya Joshi"/>
    <x v="0"/>
    <s v="Delhi"/>
    <x v="3"/>
    <s v="Accessories"/>
    <n v="3"/>
    <n v="0.1"/>
    <n v="1247.28"/>
    <n v="3367.66"/>
    <n v="1032.93"/>
    <n v="2334.73"/>
    <s v="Cash"/>
    <s v="CASH"/>
  </r>
  <r>
    <s v="ORD10191"/>
    <x v="206"/>
    <s v="Swati Kale"/>
    <s v="Swati Kale"/>
    <x v="3"/>
    <s v="Maharashtra"/>
    <x v="5"/>
    <s v="Furniture"/>
    <n v="3"/>
    <n v="0.1"/>
    <n v="6113.72"/>
    <n v="16507.04"/>
    <n v="7632.39"/>
    <n v="8874.65"/>
    <s v="Net Banking"/>
    <s v="NET BANKING"/>
  </r>
  <r>
    <s v="ORD10071"/>
    <x v="207"/>
    <s v="Priya Patil"/>
    <s v="Priya Patil"/>
    <x v="2"/>
    <s v="Maharashtra"/>
    <x v="4"/>
    <s v="Bags"/>
    <n v="1"/>
    <n v="0.15"/>
    <n v="1819.11"/>
    <n v="1546.24"/>
    <n v="681"/>
    <n v="865.24"/>
    <s v="Cash"/>
    <s v="CASH"/>
  </r>
  <r>
    <s v="ORD10412"/>
    <x v="207"/>
    <s v="Neha Jadhav"/>
    <s v="Neha Jadhav"/>
    <x v="9"/>
    <s v="Madhya Pradesh"/>
    <x v="4"/>
    <s v="Bags"/>
    <n v="4"/>
    <n v="0.1"/>
    <n v="1749.69"/>
    <n v="6298.88"/>
    <n v="2863.2"/>
    <n v="3435.68"/>
    <s v="UPI"/>
    <s v="UPI"/>
  </r>
  <r>
    <s v="ORD10045"/>
    <x v="208"/>
    <s v="Aditya Joshi"/>
    <s v="Aditya Joshi"/>
    <x v="8"/>
    <s v="Maharashtra"/>
    <x v="11"/>
    <s v="Accessories"/>
    <n v="4"/>
    <n v="0"/>
    <n v="1847.41"/>
    <n v="7389.64"/>
    <n v="2473.64"/>
    <n v="4916"/>
    <s v="Credit Card"/>
    <s v="CREDIT CARD"/>
  </r>
  <r>
    <s v="ORD10108"/>
    <x v="209"/>
    <s v="Isha Bhosale"/>
    <s v="Isha Bhosale"/>
    <x v="7"/>
    <s v="Gujarat"/>
    <x v="4"/>
    <s v="Bags"/>
    <n v="5"/>
    <n v="0"/>
    <n v="1854.51"/>
    <n v="9272.5499999999993"/>
    <n v="3326.6"/>
    <n v="5945.95"/>
    <s v="UPI"/>
    <s v="UPI"/>
  </r>
  <r>
    <s v="ORD10254"/>
    <x v="210"/>
    <s v="Neha Jadhav"/>
    <s v="Neha Jadhav"/>
    <x v="9"/>
    <s v="Madhya Pradesh"/>
    <x v="6"/>
    <s v="Accessories"/>
    <n v="5"/>
    <n v="0.05"/>
    <n v="3598.14"/>
    <n v="17091.16"/>
    <n v="5830.35"/>
    <n v="11260.81"/>
    <s v="Net Banking"/>
    <s v="NET BANKING"/>
  </r>
  <r>
    <s v="ORD10011"/>
    <x v="210"/>
    <s v="Rohan Deshmukh"/>
    <s v="Rohan Deshmukh"/>
    <x v="10"/>
    <s v="Karnataka"/>
    <x v="9"/>
    <s v="Furniture"/>
    <n v="4"/>
    <n v="0"/>
    <n v="7172.67"/>
    <n v="28690.68"/>
    <n v="13735.36"/>
    <n v="14955.32"/>
    <s v="Cash"/>
    <s v="CASH"/>
  </r>
  <r>
    <s v="ORD10091"/>
    <x v="210"/>
    <s v="Amit Verma"/>
    <s v="Amit Verma"/>
    <x v="5"/>
    <s v="Maharashtra"/>
    <x v="2"/>
    <s v="Electronics"/>
    <n v="4"/>
    <n v="0"/>
    <n v="49997.15"/>
    <n v="199988.6"/>
    <n v="169858.4"/>
    <n v="30130.2"/>
    <s v="Cash"/>
    <s v="CASH"/>
  </r>
  <r>
    <s v="ORD10185"/>
    <x v="210"/>
    <s v="Isha Bhosale"/>
    <s v="Isha Bhosale"/>
    <x v="7"/>
    <s v="Gujarat"/>
    <x v="3"/>
    <s v="Accessories"/>
    <n v="4"/>
    <n v="0.05"/>
    <n v="1144.0999999999999"/>
    <n v="4347.58"/>
    <n v="1468.12"/>
    <n v="2879.46"/>
    <s v="Credit Card"/>
    <s v="CREDIT CARD"/>
  </r>
  <r>
    <s v="ORD10179"/>
    <x v="211"/>
    <s v="Kavita Singh"/>
    <s v="Kavita Singh"/>
    <x v="6"/>
    <s v="Telangana"/>
    <x v="7"/>
    <s v="Electronics"/>
    <n v="5"/>
    <n v="0.05"/>
    <n v="21189.45"/>
    <n v="100649.89"/>
    <n v="71510.75"/>
    <n v="29139.14"/>
    <s v="Credit Card"/>
    <s v="CREDIT CARD"/>
  </r>
  <r>
    <s v="ORD10035"/>
    <x v="212"/>
    <s v="Swati Kale"/>
    <s v="Swati Kale"/>
    <x v="10"/>
    <s v="Karnataka"/>
    <x v="3"/>
    <s v="Accessories"/>
    <n v="2"/>
    <n v="0"/>
    <n v="1175.43"/>
    <n v="2350.86"/>
    <n v="687.58"/>
    <n v="1663.28"/>
    <s v="Net Banking"/>
    <s v="NET BANKING"/>
  </r>
  <r>
    <s v="ORD10198"/>
    <x v="213"/>
    <s v="Sneha Kulkarni"/>
    <s v="Sneha Kulkarni"/>
    <x v="4"/>
    <s v="Maharashtra"/>
    <x v="11"/>
    <s v="Accessories"/>
    <n v="5"/>
    <n v="0"/>
    <n v="1778.44"/>
    <n v="8892.2000000000007"/>
    <n v="2969.65"/>
    <n v="5922.55"/>
    <s v="Debit Card"/>
    <s v="DEBIT CARD"/>
  </r>
  <r>
    <s v="ORD10308"/>
    <x v="214"/>
    <s v="Rahul Pawar"/>
    <s v="Rahul Pawar"/>
    <x v="2"/>
    <s v="Maharashtra"/>
    <x v="2"/>
    <s v="Electronics"/>
    <n v="4"/>
    <n v="0.05"/>
    <n v="53987.74"/>
    <n v="205153.41"/>
    <n v="170871.84"/>
    <n v="34281.57"/>
    <s v="Cash"/>
    <s v="CASH"/>
  </r>
  <r>
    <s v="ORD10364"/>
    <x v="214"/>
    <s v="Kunal Thakur"/>
    <s v="Kunal Thakur"/>
    <x v="9"/>
    <s v="Madhya Pradesh"/>
    <x v="10"/>
    <s v="Electronics"/>
    <n v="2"/>
    <n v="0"/>
    <n v="17353.45"/>
    <n v="34706.9"/>
    <n v="16195.86"/>
    <n v="18511.04"/>
    <s v="Debit Card"/>
    <s v="DEBIT CARD"/>
  </r>
  <r>
    <s v="ORD10411"/>
    <x v="214"/>
    <s v="Sneha Kulkarni"/>
    <s v="Sneha Kulkarni"/>
    <x v="2"/>
    <s v="Maharashtra"/>
    <x v="10"/>
    <s v="Electronics"/>
    <n v="4"/>
    <n v="0.05"/>
    <n v="18324.2"/>
    <n v="69631.960000000006"/>
    <n v="31706.080000000002"/>
    <n v="37925.879999999997"/>
    <s v="UPI"/>
    <s v="UPI"/>
  </r>
  <r>
    <s v="ORD10246"/>
    <x v="215"/>
    <s v="Pooja Shinde"/>
    <s v="Pooja Shinde"/>
    <x v="10"/>
    <s v="Karnataka"/>
    <x v="5"/>
    <s v="Furniture"/>
    <n v="1"/>
    <n v="0.05"/>
    <n v="6081.64"/>
    <n v="5777.56"/>
    <n v="2430.27"/>
    <n v="3347.29"/>
    <s v="Cash"/>
    <s v="CASH"/>
  </r>
  <r>
    <s v="ORD10425"/>
    <x v="215"/>
    <s v="Aditya Joshi"/>
    <s v="Aditya Joshi"/>
    <x v="6"/>
    <s v="Telangana"/>
    <x v="11"/>
    <s v="Accessories"/>
    <n v="5"/>
    <n v="0"/>
    <n v="1859.14"/>
    <n v="9295.7000000000007"/>
    <n v="3086.8"/>
    <n v="6208.9"/>
    <s v="Cash"/>
    <s v="CASH"/>
  </r>
  <r>
    <s v="ORD10381"/>
    <x v="216"/>
    <s v="Rahul Pawar"/>
    <s v="Rahul Pawar"/>
    <x v="6"/>
    <s v="Telangana"/>
    <x v="10"/>
    <s v="Electronics"/>
    <n v="3"/>
    <n v="0"/>
    <n v="17687.41"/>
    <n v="53062.23"/>
    <n v="24815.19"/>
    <n v="28247.040000000001"/>
    <s v="Credit Card"/>
    <s v="CREDIT CARD"/>
  </r>
  <r>
    <s v="ORD10197"/>
    <x v="217"/>
    <s v="Priya Patil"/>
    <s v="Priya Patil"/>
    <x v="10"/>
    <s v="Karnataka"/>
    <x v="9"/>
    <s v="Furniture"/>
    <n v="2"/>
    <n v="0.1"/>
    <n v="7500.33"/>
    <n v="13500.59"/>
    <n v="7029.66"/>
    <n v="6470.93"/>
    <s v="Cash"/>
    <s v="CASH"/>
  </r>
  <r>
    <s v="ORD10026"/>
    <x v="217"/>
    <s v="Swati Kale"/>
    <s v="Swati Kale"/>
    <x v="3"/>
    <s v="Maharashtra"/>
    <x v="11"/>
    <s v="Accessories"/>
    <n v="5"/>
    <n v="0.1"/>
    <n v="1743.97"/>
    <n v="7847.87"/>
    <n v="2933.65"/>
    <n v="4914.22"/>
    <s v="Debit Card"/>
    <s v="DEBIT CARD"/>
  </r>
  <r>
    <s v="ORD10454"/>
    <x v="217"/>
    <s v="Rohan Deshmukh"/>
    <s v="Rohan Deshmukh"/>
    <x v="0"/>
    <s v="Delhi"/>
    <x v="2"/>
    <s v="Electronics"/>
    <n v="3"/>
    <n v="0"/>
    <n v="51274.22"/>
    <n v="153822.66"/>
    <n v="129575.1"/>
    <n v="24247.56"/>
    <s v="Credit Card"/>
    <s v="CREDIT CARD"/>
  </r>
  <r>
    <s v="ORD10351"/>
    <x v="217"/>
    <s v="Rahul Pawar"/>
    <s v="Rahul Pawar"/>
    <x v="5"/>
    <s v="Maharashtra"/>
    <x v="6"/>
    <s v="Accessories"/>
    <n v="3"/>
    <n v="0.05"/>
    <n v="3674.81"/>
    <n v="10473.209999999999"/>
    <n v="3457.74"/>
    <n v="7015.47"/>
    <s v="Cash"/>
    <s v="CASH"/>
  </r>
  <r>
    <s v="ORD10269"/>
    <x v="218"/>
    <s v="Kunal Thakur"/>
    <s v="Kunal Thakur"/>
    <x v="4"/>
    <s v="Maharashtra"/>
    <x v="11"/>
    <s v="Accessories"/>
    <n v="2"/>
    <n v="0.15"/>
    <n v="1736.09"/>
    <n v="2951.35"/>
    <n v="1227.02"/>
    <n v="1724.33"/>
    <s v="Debit Card"/>
    <s v="DEBIT CARD"/>
  </r>
  <r>
    <s v="ORD10063"/>
    <x v="218"/>
    <s v="Meera Desai"/>
    <s v="Meera Desai"/>
    <x v="7"/>
    <s v="Gujarat"/>
    <x v="11"/>
    <s v="Accessories"/>
    <n v="4"/>
    <n v="0.05"/>
    <n v="1884.47"/>
    <n v="7160.99"/>
    <n v="2405.56"/>
    <n v="4755.43"/>
    <s v="UPI"/>
    <s v="UPI"/>
  </r>
  <r>
    <s v="ORD10324"/>
    <x v="218"/>
    <s v="Sagar Mane"/>
    <s v="Sagar Mane"/>
    <x v="4"/>
    <s v="Maharashtra"/>
    <x v="6"/>
    <s v="Accessories"/>
    <n v="1"/>
    <n v="0"/>
    <n v="3444.14"/>
    <n v="3444.14"/>
    <n v="1204.97"/>
    <n v="2239.17"/>
    <s v="Credit Card"/>
    <s v="CREDIT CARD"/>
  </r>
  <r>
    <s v="ORD10319"/>
    <x v="218"/>
    <s v="Akash Wagh"/>
    <s v="Akash Wagh"/>
    <x v="0"/>
    <s v="Delhi"/>
    <x v="7"/>
    <s v="Electronics"/>
    <n v="4"/>
    <n v="0"/>
    <n v="21748.92"/>
    <n v="86995.68"/>
    <n v="57633.64"/>
    <n v="29362.04"/>
    <s v="Net Banking"/>
    <s v="NET BANKING"/>
  </r>
  <r>
    <s v="ORD10004"/>
    <x v="219"/>
    <s v="Rahul Pawar"/>
    <s v="Rahul Pawar"/>
    <x v="4"/>
    <s v="Maharashtra"/>
    <x v="5"/>
    <s v="Furniture"/>
    <n v="3"/>
    <n v="0"/>
    <n v="6289.94"/>
    <n v="18869.82"/>
    <n v="7475.07"/>
    <n v="11394.75"/>
    <s v="Net Banking"/>
    <s v="NET BANKING"/>
  </r>
  <r>
    <s v="ORD10366"/>
    <x v="220"/>
    <s v="Vivek More"/>
    <s v="Vivek More"/>
    <x v="8"/>
    <s v="Maharashtra"/>
    <x v="4"/>
    <s v="Bags"/>
    <n v="1"/>
    <n v="0.05"/>
    <n v="1834.22"/>
    <n v="1742.51"/>
    <n v="730.14"/>
    <n v="1012.37"/>
    <s v="Debit Card"/>
    <s v="DEBIT CARD"/>
  </r>
  <r>
    <s v="ORD10097"/>
    <x v="221"/>
    <s v="Pooja Shinde"/>
    <s v="Pooja Shinde"/>
    <x v="2"/>
    <s v="Maharashtra"/>
    <x v="3"/>
    <s v="Accessories"/>
    <n v="1"/>
    <n v="0.05"/>
    <n v="1200.33"/>
    <n v="1140.31"/>
    <n v="340.63"/>
    <n v="799.68"/>
    <s v="Debit Card"/>
    <s v="DEBIT CARD"/>
  </r>
  <r>
    <s v="ORD10028"/>
    <x v="222"/>
    <s v="Rohan Deshmukh"/>
    <s v="Rohan Deshmukh"/>
    <x v="1"/>
    <s v="Maharashtra"/>
    <x v="4"/>
    <s v="Bags"/>
    <n v="3"/>
    <n v="0.15"/>
    <n v="1761.11"/>
    <n v="4490.83"/>
    <n v="2059.14"/>
    <n v="2431.69"/>
    <s v="Net Banking"/>
    <s v="NET BANKING"/>
  </r>
  <r>
    <s v="ORD10131"/>
    <x v="223"/>
    <s v="Akash Wagh"/>
    <s v="Akash Wagh"/>
    <x v="7"/>
    <s v="Gujarat"/>
    <x v="11"/>
    <s v="Accessories"/>
    <n v="4"/>
    <n v="0.1"/>
    <n v="1883.18"/>
    <n v="6779.45"/>
    <n v="2469.6"/>
    <n v="4309.8500000000004"/>
    <s v="Cash"/>
    <s v="CASH"/>
  </r>
  <r>
    <s v="ORD10422"/>
    <x v="223"/>
    <s v="Rohan Deshmukh"/>
    <s v="Rohan Deshmukh"/>
    <x v="2"/>
    <s v="Maharashtra"/>
    <x v="3"/>
    <s v="Accessories"/>
    <n v="5"/>
    <n v="0.05"/>
    <n v="1143.4000000000001"/>
    <n v="5431.15"/>
    <n v="1699.25"/>
    <n v="3731.9"/>
    <s v="Credit Card"/>
    <s v="CREDIT CARD"/>
  </r>
  <r>
    <s v="ORD10424"/>
    <x v="224"/>
    <s v="Anjali Chavan"/>
    <s v="Anjali Chavan"/>
    <x v="0"/>
    <s v="Delhi"/>
    <x v="6"/>
    <s v="Accessories"/>
    <n v="3"/>
    <n v="0"/>
    <n v="3426.22"/>
    <n v="10278.66"/>
    <n v="3531.54"/>
    <n v="6747.12"/>
    <s v="UPI"/>
    <s v="UPI"/>
  </r>
  <r>
    <s v="ORD10427"/>
    <x v="225"/>
    <s v="Vivek More"/>
    <s v="Vivek More"/>
    <x v="6"/>
    <s v="Telangana"/>
    <x v="8"/>
    <s v="Electronics"/>
    <n v="1"/>
    <n v="0.1"/>
    <n v="16283.11"/>
    <n v="14654.8"/>
    <n v="9304.1200000000008"/>
    <n v="5350.68"/>
    <s v="Net Banking"/>
    <s v="NET BANKING"/>
  </r>
  <r>
    <s v="ORD10486"/>
    <x v="225"/>
    <s v="Isha Bhosale"/>
    <s v="Isha Bhosale"/>
    <x v="8"/>
    <s v="Maharashtra"/>
    <x v="6"/>
    <s v="Accessories"/>
    <n v="1"/>
    <n v="0.05"/>
    <n v="3595.74"/>
    <n v="3415.95"/>
    <n v="1154.81"/>
    <n v="2261.14"/>
    <s v="UPI"/>
    <s v="UPI"/>
  </r>
  <r>
    <s v="ORD10124"/>
    <x v="225"/>
    <s v="Neha Jadhav"/>
    <s v="Neha Jadhav"/>
    <x v="0"/>
    <s v="Delhi"/>
    <x v="3"/>
    <s v="Accessories"/>
    <n v="2"/>
    <n v="0.05"/>
    <n v="1152.79"/>
    <n v="2190.3000000000002"/>
    <n v="674.8"/>
    <n v="1515.5"/>
    <s v="Debit Card"/>
    <s v="DEBIT CARD"/>
  </r>
  <r>
    <s v="ORD10036"/>
    <x v="225"/>
    <s v="Sneha Kulkarni"/>
    <s v="Sneha Kulkarni"/>
    <x v="9"/>
    <s v="Madhya Pradesh"/>
    <x v="0"/>
    <s v="Electronics"/>
    <n v="2"/>
    <n v="0.1"/>
    <n v="12440.49"/>
    <n v="22392.880000000001"/>
    <n v="13537.22"/>
    <n v="8855.66"/>
    <s v="Net Banking"/>
    <s v="NET BANKING"/>
  </r>
  <r>
    <s v="ORD10235"/>
    <x v="226"/>
    <s v="Pooja Shinde"/>
    <s v="Pooja Shinde"/>
    <x v="1"/>
    <s v="Maharashtra"/>
    <x v="4"/>
    <s v="Bags"/>
    <n v="1"/>
    <n v="0.1"/>
    <n v="1723.76"/>
    <n v="1551.38"/>
    <n v="684.56"/>
    <n v="866.82"/>
    <s v="Net Banking"/>
    <s v="NET BANKING"/>
  </r>
  <r>
    <s v="ORD10086"/>
    <x v="227"/>
    <s v="Sagar Mane"/>
    <s v="Sagar Mane"/>
    <x v="1"/>
    <s v="Maharashtra"/>
    <x v="5"/>
    <s v="Furniture"/>
    <n v="3"/>
    <n v="0"/>
    <n v="5902.47"/>
    <n v="17707.41"/>
    <n v="7799.73"/>
    <n v="9907.68"/>
    <s v="Net Banking"/>
    <s v="NET BANKING"/>
  </r>
  <r>
    <s v="ORD10163"/>
    <x v="228"/>
    <s v="Rohan Deshmukh"/>
    <s v="Rohan Deshmukh"/>
    <x v="10"/>
    <s v="Karnataka"/>
    <x v="7"/>
    <s v="Electronics"/>
    <n v="4"/>
    <n v="0"/>
    <n v="22652.959999999999"/>
    <n v="90611.839999999997"/>
    <n v="54847.360000000001"/>
    <n v="35764.480000000003"/>
    <s v="Cash"/>
    <s v="CASH"/>
  </r>
  <r>
    <s v="ORD10349"/>
    <x v="228"/>
    <s v="Anjali Chavan"/>
    <s v="Anjali Chavan"/>
    <x v="2"/>
    <s v="Maharashtra"/>
    <x v="3"/>
    <s v="Accessories"/>
    <n v="4"/>
    <n v="0.05"/>
    <n v="1153.92"/>
    <n v="4384.8999999999996"/>
    <n v="1335.92"/>
    <n v="3048.98"/>
    <s v="Net Banking"/>
    <s v="NET BANKING"/>
  </r>
  <r>
    <s v="ORD10279"/>
    <x v="228"/>
    <s v="Isha Bhosale"/>
    <s v="Isha Bhosale"/>
    <x v="9"/>
    <s v="Madhya Pradesh"/>
    <x v="9"/>
    <s v="Furniture"/>
    <n v="1"/>
    <n v="0"/>
    <n v="7811.32"/>
    <n v="7811.32"/>
    <n v="3511.56"/>
    <n v="4299.76"/>
    <s v="Cash"/>
    <s v="CASH"/>
  </r>
  <r>
    <s v="ORD10426"/>
    <x v="229"/>
    <s v="Vivek More"/>
    <s v="Vivek More"/>
    <x v="4"/>
    <s v="Maharashtra"/>
    <x v="0"/>
    <s v="Electronics"/>
    <n v="1"/>
    <n v="0.05"/>
    <n v="12529.34"/>
    <n v="11902.87"/>
    <n v="6744.61"/>
    <n v="5158.26"/>
    <s v="Debit Card"/>
    <s v="DEBIT CARD"/>
  </r>
  <r>
    <s v="ORD10031"/>
    <x v="229"/>
    <s v="Swati Kale"/>
    <s v="Swati Kale"/>
    <x v="2"/>
    <s v="Maharashtra"/>
    <x v="3"/>
    <s v="Accessories"/>
    <n v="3"/>
    <n v="0"/>
    <n v="1182.01"/>
    <n v="3546.03"/>
    <n v="1065.24"/>
    <n v="2480.79"/>
    <s v="Debit Card"/>
    <s v="DEBIT CARD"/>
  </r>
  <r>
    <s v="ORD10294"/>
    <x v="229"/>
    <s v="Sneha Kulkarni"/>
    <s v="Sneha Kulkarni"/>
    <x v="5"/>
    <s v="Maharashtra"/>
    <x v="5"/>
    <s v="Furniture"/>
    <n v="1"/>
    <n v="0"/>
    <n v="6223.65"/>
    <n v="6223.65"/>
    <n v="2403.15"/>
    <n v="3820.5"/>
    <s v="UPI"/>
    <s v="UPI"/>
  </r>
  <r>
    <s v="ORD10416"/>
    <x v="230"/>
    <s v="Aarav Sharma"/>
    <s v="Aarav Sharma"/>
    <x v="3"/>
    <s v="Maharashtra"/>
    <x v="11"/>
    <s v="Accessories"/>
    <n v="3"/>
    <n v="0"/>
    <n v="1721.25"/>
    <n v="5163.75"/>
    <n v="1792.62"/>
    <n v="3371.13"/>
    <s v="Debit Card"/>
    <s v="DEBIT CARD"/>
  </r>
  <r>
    <s v="ORD10018"/>
    <x v="230"/>
    <s v="Akash Wagh"/>
    <s v="Akash Wagh"/>
    <x v="2"/>
    <s v="Maharashtra"/>
    <x v="5"/>
    <s v="Furniture"/>
    <n v="3"/>
    <n v="0"/>
    <n v="6011.27"/>
    <n v="18033.810000000001"/>
    <n v="7652.25"/>
    <n v="10381.56"/>
    <s v="Credit Card"/>
    <s v="CREDIT CARD"/>
  </r>
  <r>
    <s v="ORD10041"/>
    <x v="230"/>
    <s v="Vivek More"/>
    <s v="Vivek More"/>
    <x v="4"/>
    <s v="Maharashtra"/>
    <x v="9"/>
    <s v="Furniture"/>
    <n v="3"/>
    <n v="0"/>
    <n v="7183.84"/>
    <n v="21551.52"/>
    <n v="10001.61"/>
    <n v="11549.91"/>
    <s v="Cash"/>
    <s v="CASH"/>
  </r>
  <r>
    <s v="ORD10164"/>
    <x v="231"/>
    <s v="Priya Patil"/>
    <s v="Priya Patil"/>
    <x v="7"/>
    <s v="Gujarat"/>
    <x v="4"/>
    <s v="Bags"/>
    <n v="1"/>
    <n v="0.05"/>
    <n v="1754.56"/>
    <n v="1666.83"/>
    <n v="704.09"/>
    <n v="962.74"/>
    <s v="Debit Card"/>
    <s v="DEBIT CARD"/>
  </r>
  <r>
    <s v="ORD10142"/>
    <x v="231"/>
    <s v="Meera Desai"/>
    <s v="Meera Desai"/>
    <x v="6"/>
    <s v="Telangana"/>
    <x v="10"/>
    <s v="Electronics"/>
    <n v="2"/>
    <n v="0.1"/>
    <n v="17566.169999999998"/>
    <n v="31619.11"/>
    <n v="16141.68"/>
    <n v="15477.43"/>
    <s v="Debit Card"/>
    <s v="DEBIT CARD"/>
  </r>
  <r>
    <s v="ORD10107"/>
    <x v="231"/>
    <s v="Kunal Thakur"/>
    <s v="Kunal Thakur"/>
    <x v="2"/>
    <s v="Maharashtra"/>
    <x v="11"/>
    <s v="Accessories"/>
    <n v="5"/>
    <n v="0"/>
    <n v="1743.54"/>
    <n v="8717.7000000000007"/>
    <n v="3101.25"/>
    <n v="5616.45"/>
    <s v="Net Banking"/>
    <s v="NET BANKING"/>
  </r>
  <r>
    <s v="ORD10088"/>
    <x v="232"/>
    <s v="Isha Bhosale"/>
    <s v="Isha Bhosale"/>
    <x v="5"/>
    <s v="Maharashtra"/>
    <x v="1"/>
    <s v="Furniture"/>
    <n v="3"/>
    <n v="0.05"/>
    <n v="8919.36"/>
    <n v="25420.18"/>
    <n v="14151.21"/>
    <n v="11268.97"/>
    <s v="Cash"/>
    <s v="CASH"/>
  </r>
  <r>
    <s v="ORD10439"/>
    <x v="232"/>
    <s v="Sagar Mane"/>
    <s v="Sagar Mane"/>
    <x v="1"/>
    <s v="Maharashtra"/>
    <x v="4"/>
    <s v="Bags"/>
    <n v="4"/>
    <n v="0.1"/>
    <n v="1808.21"/>
    <n v="6509.56"/>
    <n v="2934.88"/>
    <n v="3574.68"/>
    <s v="Net Banking"/>
    <s v="NET BANKING"/>
  </r>
  <r>
    <s v="ORD10241"/>
    <x v="233"/>
    <s v="Meera Desai"/>
    <s v="Meera Desai"/>
    <x v="8"/>
    <s v="Maharashtra"/>
    <x v="2"/>
    <s v="Electronics"/>
    <n v="1"/>
    <n v="0.15"/>
    <n v="52870.22"/>
    <n v="44939.69"/>
    <n v="39943.800000000003"/>
    <n v="4995.8900000000003"/>
    <s v="UPI"/>
    <s v="UPI"/>
  </r>
  <r>
    <s v="ORD10383"/>
    <x v="233"/>
    <s v="Nikhil Gupta"/>
    <s v="Nikhil Gupta"/>
    <x v="7"/>
    <s v="Gujarat"/>
    <x v="9"/>
    <s v="Furniture"/>
    <n v="1"/>
    <n v="0"/>
    <n v="7570.35"/>
    <n v="7570.35"/>
    <n v="3336.48"/>
    <n v="4233.87"/>
    <s v="Debit Card"/>
    <s v="DEBIT CARD"/>
  </r>
  <r>
    <s v="ORD10140"/>
    <x v="233"/>
    <s v="Riya Shah"/>
    <s v="Riya Shah"/>
    <x v="1"/>
    <s v="Maharashtra"/>
    <x v="11"/>
    <s v="Accessories"/>
    <n v="1"/>
    <n v="0"/>
    <n v="1729.89"/>
    <n v="1729.89"/>
    <n v="591.28"/>
    <n v="1138.6099999999999"/>
    <s v="Net Banking"/>
    <s v="NET BANKING"/>
  </r>
  <r>
    <s v="ORD10090"/>
    <x v="233"/>
    <s v="Kunal Thakur"/>
    <s v="Kunal Thakur"/>
    <x v="5"/>
    <s v="Maharashtra"/>
    <x v="9"/>
    <s v="Furniture"/>
    <n v="2"/>
    <n v="0"/>
    <n v="7702.12"/>
    <n v="15404.24"/>
    <n v="6780.94"/>
    <n v="8623.2999999999993"/>
    <s v="Cash"/>
    <s v="CASH"/>
  </r>
  <r>
    <s v="ORD10193"/>
    <x v="233"/>
    <s v="Priya Patil"/>
    <s v="Priya Patil"/>
    <x v="7"/>
    <s v="Gujarat"/>
    <x v="4"/>
    <s v="Bags"/>
    <n v="1"/>
    <n v="0.1"/>
    <n v="1850.83"/>
    <n v="1665.75"/>
    <n v="704.69"/>
    <n v="961.06"/>
    <s v="Net Banking"/>
    <s v="NET BANKING"/>
  </r>
  <r>
    <s v="ORD10298"/>
    <x v="233"/>
    <s v="Rohan Deshmukh"/>
    <s v="Rohan Deshmukh"/>
    <x v="7"/>
    <s v="Gujarat"/>
    <x v="11"/>
    <s v="Accessories"/>
    <n v="3"/>
    <n v="0.05"/>
    <n v="1842.76"/>
    <n v="5251.87"/>
    <n v="1804.53"/>
    <n v="3447.34"/>
    <s v="UPI"/>
    <s v="UPI"/>
  </r>
  <r>
    <s v="ORD10297"/>
    <x v="234"/>
    <s v="Swati Kale"/>
    <s v="Swati Kale"/>
    <x v="4"/>
    <s v="Maharashtra"/>
    <x v="2"/>
    <s v="Electronics"/>
    <n v="4"/>
    <n v="0.05"/>
    <n v="54576.28"/>
    <n v="207389.86"/>
    <n v="173975.67999999999"/>
    <n v="33414.18"/>
    <s v="Cash"/>
    <s v="CASH"/>
  </r>
  <r>
    <s v="ORD10449"/>
    <x v="235"/>
    <s v="Isha Bhosale"/>
    <s v="Isha Bhosale"/>
    <x v="6"/>
    <s v="Telangana"/>
    <x v="6"/>
    <s v="Accessories"/>
    <n v="2"/>
    <n v="0.05"/>
    <n v="3610.23"/>
    <n v="6859.44"/>
    <n v="2466.7199999999998"/>
    <n v="4392.72"/>
    <s v="Credit Card"/>
    <s v="CREDIT CARD"/>
  </r>
  <r>
    <s v="ORD10079"/>
    <x v="235"/>
    <s v="Aarav Sharma"/>
    <s v="Aarav Sharma"/>
    <x v="5"/>
    <s v="Maharashtra"/>
    <x v="0"/>
    <s v="Electronics"/>
    <n v="3"/>
    <n v="0"/>
    <n v="11602.72"/>
    <n v="34808.160000000003"/>
    <n v="19068.240000000002"/>
    <n v="15739.92"/>
    <s v="Net Banking"/>
    <s v="NET BANKING"/>
  </r>
  <r>
    <s v="ORD10291"/>
    <x v="236"/>
    <s v="Rohan Deshmukh"/>
    <s v="Rohan Deshmukh"/>
    <x v="8"/>
    <s v="Maharashtra"/>
    <x v="10"/>
    <s v="Electronics"/>
    <n v="3"/>
    <n v="0"/>
    <n v="17904.7"/>
    <n v="53714.1"/>
    <n v="23904.87"/>
    <n v="29809.23"/>
    <s v="Debit Card"/>
    <s v="DEBIT CARD"/>
  </r>
  <r>
    <s v="ORD10105"/>
    <x v="236"/>
    <s v="Anjali Chavan"/>
    <s v="Anjali Chavan"/>
    <x v="4"/>
    <s v="Maharashtra"/>
    <x v="10"/>
    <s v="Electronics"/>
    <n v="4"/>
    <n v="0"/>
    <n v="18753.75"/>
    <n v="75015"/>
    <n v="32928.28"/>
    <n v="42086.720000000001"/>
    <s v="UPI"/>
    <s v="UPI"/>
  </r>
  <r>
    <s v="ORD10400"/>
    <x v="236"/>
    <s v="Aarav Sharma"/>
    <s v="Aarav Sharma"/>
    <x v="8"/>
    <s v="Maharashtra"/>
    <x v="11"/>
    <s v="Accessories"/>
    <n v="3"/>
    <n v="0.1"/>
    <n v="1886.74"/>
    <n v="5094.2"/>
    <n v="1823.04"/>
    <n v="3271.16"/>
    <s v="UPI"/>
    <s v="UPI"/>
  </r>
  <r>
    <s v="ORD10146"/>
    <x v="237"/>
    <s v="Sneha Kulkarni"/>
    <s v="Sneha Kulkarni"/>
    <x v="7"/>
    <s v="Gujarat"/>
    <x v="9"/>
    <s v="Furniture"/>
    <n v="3"/>
    <n v="0.1"/>
    <n v="7293.33"/>
    <n v="19691.990000000002"/>
    <n v="10210.02"/>
    <n v="9481.9699999999993"/>
    <s v="Net Banking"/>
    <s v="NET BANKING"/>
  </r>
  <r>
    <s v="ORD10100"/>
    <x v="238"/>
    <s v="Aarav Sharma"/>
    <s v="Aarav Sharma"/>
    <x v="0"/>
    <s v="Delhi"/>
    <x v="1"/>
    <s v="Furniture"/>
    <n v="1"/>
    <n v="0"/>
    <n v="9062.9"/>
    <n v="9062.9"/>
    <n v="4618.1099999999997"/>
    <n v="4444.79"/>
    <s v="Net Banking"/>
    <s v="NET BANKING"/>
  </r>
  <r>
    <s v="ORD10370"/>
    <x v="239"/>
    <s v="Amit Verma"/>
    <s v="Amit Verma"/>
    <x v="7"/>
    <s v="Gujarat"/>
    <x v="6"/>
    <s v="Accessories"/>
    <n v="3"/>
    <n v="0.05"/>
    <n v="3467.34"/>
    <n v="9881.92"/>
    <n v="3763.08"/>
    <n v="6118.84"/>
    <s v="Net Banking"/>
    <s v="NET BANKING"/>
  </r>
  <r>
    <s v="ORD10475"/>
    <x v="239"/>
    <s v="Kavita Singh"/>
    <s v="Kavita Singh"/>
    <x v="7"/>
    <s v="Gujarat"/>
    <x v="2"/>
    <s v="Electronics"/>
    <n v="1"/>
    <n v="0.1"/>
    <n v="49482.28"/>
    <n v="44534.05"/>
    <n v="42095.59"/>
    <n v="2438.46"/>
    <s v="Debit Card"/>
    <s v="DEBIT CARD"/>
  </r>
  <r>
    <s v="ORD10307"/>
    <x v="240"/>
    <s v="Meera Desai"/>
    <s v="Meera Desai"/>
    <x v="0"/>
    <s v="Delhi"/>
    <x v="1"/>
    <s v="Furniture"/>
    <n v="1"/>
    <n v="0"/>
    <n v="9157.8799999999992"/>
    <n v="9157.8799999999992"/>
    <n v="4295.18"/>
    <n v="4862.7"/>
    <s v="Net Banking"/>
    <s v="NET BANKING"/>
  </r>
  <r>
    <s v="ORD10295"/>
    <x v="241"/>
    <s v="Vivek More"/>
    <s v="Vivek More"/>
    <x v="3"/>
    <s v="Maharashtra"/>
    <x v="4"/>
    <s v="Bags"/>
    <n v="1"/>
    <n v="0.05"/>
    <n v="1764.23"/>
    <n v="1676.02"/>
    <n v="706.89"/>
    <n v="969.13"/>
    <s v="Cash"/>
    <s v="CASH"/>
  </r>
  <r>
    <s v="ORD10436"/>
    <x v="242"/>
    <s v="Vivek More"/>
    <s v="Vivek More"/>
    <x v="5"/>
    <s v="Maharashtra"/>
    <x v="3"/>
    <s v="Accessories"/>
    <n v="4"/>
    <n v="0.05"/>
    <n v="1230.32"/>
    <n v="4675.22"/>
    <n v="1395.12"/>
    <n v="3280.1"/>
    <s v="Debit Card"/>
    <s v="DEBIT CARD"/>
  </r>
  <r>
    <s v="ORD10188"/>
    <x v="242"/>
    <s v="Riya Shah"/>
    <s v="Riya Shah"/>
    <x v="8"/>
    <s v="Maharashtra"/>
    <x v="4"/>
    <s v="Bags"/>
    <n v="3"/>
    <n v="0.05"/>
    <n v="1830.04"/>
    <n v="5215.6099999999997"/>
    <n v="2024.34"/>
    <n v="3191.27"/>
    <s v="Credit Card"/>
    <s v="CREDIT CARD"/>
  </r>
  <r>
    <s v="ORD10199"/>
    <x v="242"/>
    <s v="Nikhil Gupta"/>
    <s v="Nikhil Gupta"/>
    <x v="0"/>
    <s v="Delhi"/>
    <x v="1"/>
    <s v="Furniture"/>
    <n v="2"/>
    <n v="0.05"/>
    <n v="9019.11"/>
    <n v="17136.310000000001"/>
    <n v="9290.16"/>
    <n v="7846.15"/>
    <s v="Net Banking"/>
    <s v="NET BANKING"/>
  </r>
  <r>
    <s v="ORD10356"/>
    <x v="243"/>
    <s v="Sneha Kulkarni"/>
    <s v="Sneha Kulkarni"/>
    <x v="1"/>
    <s v="Maharashtra"/>
    <x v="5"/>
    <s v="Furniture"/>
    <n v="5"/>
    <n v="0.05"/>
    <n v="5845.13"/>
    <n v="27764.37"/>
    <n v="13013.85"/>
    <n v="14750.52"/>
    <s v="Credit Card"/>
    <s v="CREDIT CARD"/>
  </r>
  <r>
    <s v="ORD10058"/>
    <x v="244"/>
    <s v="Pooja Shinde"/>
    <s v="Pooja Shinde"/>
    <x v="4"/>
    <s v="Maharashtra"/>
    <x v="9"/>
    <s v="Furniture"/>
    <n v="2"/>
    <n v="0"/>
    <n v="7793.92"/>
    <n v="15587.84"/>
    <n v="6752.62"/>
    <n v="8835.2199999999993"/>
    <s v="Net Banking"/>
    <s v="NET BANKING"/>
  </r>
  <r>
    <s v="ORD10460"/>
    <x v="244"/>
    <s v="Aarav Sharma"/>
    <s v="Aarav Sharma"/>
    <x v="5"/>
    <s v="Maharashtra"/>
    <x v="1"/>
    <s v="Furniture"/>
    <n v="1"/>
    <n v="0.05"/>
    <n v="9426.82"/>
    <n v="8955.48"/>
    <n v="4306.41"/>
    <n v="4649.07"/>
    <s v="Cash"/>
    <s v="CASH"/>
  </r>
  <r>
    <s v="ORD10498"/>
    <x v="245"/>
    <s v="Kavita Singh"/>
    <s v="Kavita Singh"/>
    <x v="1"/>
    <s v="Maharashtra"/>
    <x v="4"/>
    <s v="Bags"/>
    <n v="5"/>
    <n v="0"/>
    <n v="1839.08"/>
    <n v="9195.4"/>
    <n v="3624.65"/>
    <n v="5570.75"/>
    <s v="Cash"/>
    <s v="CASH"/>
  </r>
  <r>
    <s v="ORD10499"/>
    <x v="245"/>
    <s v="Akash Wagh"/>
    <s v="Akash Wagh"/>
    <x v="4"/>
    <s v="Maharashtra"/>
    <x v="1"/>
    <s v="Furniture"/>
    <n v="1"/>
    <n v="0"/>
    <n v="9206.74"/>
    <n v="9206.74"/>
    <n v="4698.1000000000004"/>
    <n v="4508.6400000000003"/>
    <s v="Cash"/>
    <s v="CASH"/>
  </r>
  <r>
    <s v="ORD10073"/>
    <x v="246"/>
    <s v="Meera Desai"/>
    <s v="Meera Desai"/>
    <x v="4"/>
    <s v="Maharashtra"/>
    <x v="11"/>
    <s v="Accessories"/>
    <n v="3"/>
    <n v="0"/>
    <n v="1734.12"/>
    <n v="5202.3599999999997"/>
    <n v="1715.19"/>
    <n v="3487.17"/>
    <s v="Credit Card"/>
    <s v="CREDIT CARD"/>
  </r>
  <r>
    <s v="ORD10068"/>
    <x v="246"/>
    <s v="Akash Wagh"/>
    <s v="Akash Wagh"/>
    <x v="0"/>
    <s v="Delhi"/>
    <x v="11"/>
    <s v="Accessories"/>
    <n v="1"/>
    <n v="0.1"/>
    <n v="1796.47"/>
    <n v="1616.82"/>
    <n v="629.12"/>
    <n v="987.7"/>
    <s v="Net Banking"/>
    <s v="NET BANKING"/>
  </r>
  <r>
    <s v="ORD10141"/>
    <x v="247"/>
    <s v="Sneha Kulkarni"/>
    <s v="Sneha Kulkarni"/>
    <x v="7"/>
    <s v="Gujarat"/>
    <x v="4"/>
    <s v="Bags"/>
    <n v="1"/>
    <n v="0.1"/>
    <n v="1718.12"/>
    <n v="1546.31"/>
    <n v="672.66"/>
    <n v="873.65"/>
    <s v="Cash"/>
    <s v="CASH"/>
  </r>
  <r>
    <s v="ORD10110"/>
    <x v="247"/>
    <s v="Aarav Sharma"/>
    <s v="Aarav Sharma"/>
    <x v="5"/>
    <s v="Maharashtra"/>
    <x v="5"/>
    <s v="Furniture"/>
    <n v="3"/>
    <n v="0"/>
    <n v="5805.83"/>
    <n v="17417.490000000002"/>
    <n v="7498.77"/>
    <n v="9918.7199999999993"/>
    <s v="UPI"/>
    <s v="UPI"/>
  </r>
  <r>
    <s v="ORD10002"/>
    <x v="247"/>
    <s v="Kavita Singh"/>
    <s v="Kavita Singh"/>
    <x v="1"/>
    <s v="Maharashtra"/>
    <x v="10"/>
    <s v="Electronics"/>
    <n v="5"/>
    <n v="0.05"/>
    <n v="18374.53"/>
    <n v="87279.02"/>
    <n v="38082.35"/>
    <n v="49196.67"/>
    <s v="Credit Card"/>
    <s v="CREDIT CARD"/>
  </r>
  <r>
    <s v="ORD10005"/>
    <x v="248"/>
    <s v="Priya Patil"/>
    <s v="Priya Patil"/>
    <x v="7"/>
    <s v="Gujarat"/>
    <x v="4"/>
    <s v="Bags"/>
    <n v="2"/>
    <n v="0.1"/>
    <n v="1883.81"/>
    <n v="3390.86"/>
    <n v="1443.18"/>
    <n v="1947.68"/>
    <s v="Cash"/>
    <s v="CASH"/>
  </r>
  <r>
    <s v="ORD10043"/>
    <x v="249"/>
    <s v="Rohan Deshmukh"/>
    <s v="Rohan Deshmukh"/>
    <x v="5"/>
    <s v="Maharashtra"/>
    <x v="11"/>
    <s v="Accessories"/>
    <n v="1"/>
    <n v="0.15"/>
    <n v="1842.82"/>
    <n v="1566.4"/>
    <n v="603.26"/>
    <n v="963.14"/>
    <s v="Cash"/>
    <s v="CASH"/>
  </r>
  <r>
    <s v="ORD10258"/>
    <x v="250"/>
    <s v="Akash Wagh"/>
    <s v="Akash Wagh"/>
    <x v="8"/>
    <s v="Maharashtra"/>
    <x v="3"/>
    <s v="Accessories"/>
    <n v="5"/>
    <n v="0.1"/>
    <n v="1202.07"/>
    <n v="5409.32"/>
    <n v="1739.55"/>
    <n v="3669.77"/>
    <s v="UPI"/>
    <s v="UPI"/>
  </r>
  <r>
    <s v="ORD10087"/>
    <x v="250"/>
    <s v="Amit Verma"/>
    <s v="Amit Verma"/>
    <x v="8"/>
    <s v="Maharashtra"/>
    <x v="4"/>
    <s v="Bags"/>
    <n v="1"/>
    <n v="0"/>
    <n v="1750.56"/>
    <n v="1750.56"/>
    <n v="690.57"/>
    <n v="1059.99"/>
    <s v="UPI"/>
    <s v="UPI"/>
  </r>
  <r>
    <s v="ORD10313"/>
    <x v="250"/>
    <s v="Pooja Shinde"/>
    <s v="Pooja Shinde"/>
    <x v="3"/>
    <s v="Maharashtra"/>
    <x v="8"/>
    <s v="Electronics"/>
    <n v="4"/>
    <n v="0.05"/>
    <n v="16385.57"/>
    <n v="62265.17"/>
    <n v="36107.96"/>
    <n v="26157.21"/>
    <s v="Credit Card"/>
    <s v="CREDIT CARD"/>
  </r>
  <r>
    <s v="ORD10467"/>
    <x v="250"/>
    <s v="Kunal Thakur"/>
    <s v="Kunal Thakur"/>
    <x v="9"/>
    <s v="Madhya Pradesh"/>
    <x v="6"/>
    <s v="Accessories"/>
    <n v="4"/>
    <n v="0"/>
    <n v="3666.37"/>
    <n v="14665.48"/>
    <n v="4952.16"/>
    <n v="9713.32"/>
    <s v="Debit Card"/>
    <s v="DEBIT CARD"/>
  </r>
  <r>
    <s v="ORD10369"/>
    <x v="251"/>
    <s v="Kavita Singh"/>
    <s v="Kavita Singh"/>
    <x v="0"/>
    <s v="Delhi"/>
    <x v="10"/>
    <s v="Electronics"/>
    <n v="4"/>
    <n v="0.1"/>
    <n v="18866.150000000001"/>
    <n v="67918.14"/>
    <n v="32938.04"/>
    <n v="34980.1"/>
    <s v="UPI"/>
    <s v="UPI"/>
  </r>
  <r>
    <s v="ORD10330"/>
    <x v="252"/>
    <s v="Neha Jadhav"/>
    <s v="Neha Jadhav"/>
    <x v="8"/>
    <s v="Maharashtra"/>
    <x v="4"/>
    <s v="Bags"/>
    <n v="2"/>
    <n v="0.1"/>
    <n v="1736.78"/>
    <n v="3126.2"/>
    <n v="1394.78"/>
    <n v="1731.42"/>
    <s v="Credit Card"/>
    <s v="CREDIT CARD"/>
  </r>
  <r>
    <s v="ORD10130"/>
    <x v="253"/>
    <s v="Kavita Singh"/>
    <s v="Kavita Singh"/>
    <x v="5"/>
    <s v="Maharashtra"/>
    <x v="4"/>
    <s v="Bags"/>
    <n v="3"/>
    <n v="0.1"/>
    <n v="1853.89"/>
    <n v="5005.5"/>
    <n v="2140.89"/>
    <n v="2864.61"/>
    <s v="Debit Card"/>
    <s v="DEBIT CARD"/>
  </r>
  <r>
    <s v="ORD10345"/>
    <x v="253"/>
    <s v="Amit Verma"/>
    <s v="Amit Verma"/>
    <x v="10"/>
    <s v="Karnataka"/>
    <x v="10"/>
    <s v="Electronics"/>
    <n v="2"/>
    <n v="0"/>
    <n v="17385.52"/>
    <n v="34771.040000000001"/>
    <n v="16611.18"/>
    <n v="18159.86"/>
    <s v="UPI"/>
    <s v="UPI"/>
  </r>
  <r>
    <s v="ORD10177"/>
    <x v="253"/>
    <s v="Sneha Kulkarni"/>
    <s v="Sneha Kulkarni"/>
    <x v="4"/>
    <s v="Maharashtra"/>
    <x v="5"/>
    <s v="Furniture"/>
    <n v="2"/>
    <n v="0.1"/>
    <n v="6047.21"/>
    <n v="10884.98"/>
    <n v="4969.3"/>
    <n v="5915.68"/>
    <s v="Credit Card"/>
    <s v="CREDIT CARD"/>
  </r>
  <r>
    <s v="ORD10472"/>
    <x v="254"/>
    <s v="Kavita Singh"/>
    <s v="Kavita Singh"/>
    <x v="10"/>
    <s v="Karnataka"/>
    <x v="5"/>
    <s v="Furniture"/>
    <n v="5"/>
    <n v="0.05"/>
    <n v="6168.33"/>
    <n v="29299.57"/>
    <n v="12254.55"/>
    <n v="17045.02"/>
    <s v="Cash"/>
    <s v="CASH"/>
  </r>
  <r>
    <s v="ORD10051"/>
    <x v="255"/>
    <s v="Vivek More"/>
    <s v="Vivek More"/>
    <x v="8"/>
    <s v="Maharashtra"/>
    <x v="10"/>
    <s v="Electronics"/>
    <n v="5"/>
    <n v="0"/>
    <n v="17852.3"/>
    <n v="89261.5"/>
    <n v="41870.300000000003"/>
    <n v="47391.199999999997"/>
    <s v="Debit Card"/>
    <s v="DEBIT CARD"/>
  </r>
  <r>
    <s v="ORD10314"/>
    <x v="255"/>
    <s v="Akash Wagh"/>
    <s v="Akash Wagh"/>
    <x v="9"/>
    <s v="Madhya Pradesh"/>
    <x v="2"/>
    <s v="Electronics"/>
    <n v="1"/>
    <n v="0"/>
    <n v="50934.21"/>
    <n v="50934.21"/>
    <n v="41941.199999999997"/>
    <n v="8993.01"/>
    <s v="UPI"/>
    <s v="UPI"/>
  </r>
  <r>
    <s v="ORD10338"/>
    <x v="256"/>
    <s v="Amit Verma"/>
    <s v="Amit Verma"/>
    <x v="8"/>
    <s v="Maharashtra"/>
    <x v="6"/>
    <s v="Accessories"/>
    <n v="3"/>
    <n v="0.05"/>
    <n v="3356.01"/>
    <n v="9564.6299999999992"/>
    <n v="3595.56"/>
    <n v="5969.07"/>
    <s v="Debit Card"/>
    <s v="DEBIT CARD"/>
  </r>
  <r>
    <s v="ORD10064"/>
    <x v="256"/>
    <s v="Kavita Singh"/>
    <s v="Kavita Singh"/>
    <x v="10"/>
    <s v="Karnataka"/>
    <x v="11"/>
    <s v="Accessories"/>
    <n v="3"/>
    <n v="0.1"/>
    <n v="1718.18"/>
    <n v="4639.09"/>
    <n v="1760.58"/>
    <n v="2878.51"/>
    <s v="Cash"/>
    <s v="CASH"/>
  </r>
  <r>
    <s v="ORD10468"/>
    <x v="256"/>
    <s v="Anjali Chavan"/>
    <s v="Anjali Chavan"/>
    <x v="1"/>
    <s v="Maharashtra"/>
    <x v="7"/>
    <s v="Electronics"/>
    <n v="2"/>
    <n v="0"/>
    <n v="21269.86"/>
    <n v="42539.72"/>
    <n v="27929.86"/>
    <n v="14609.86"/>
    <s v="Cash"/>
    <s v="CASH"/>
  </r>
  <r>
    <s v="ORD10228"/>
    <x v="257"/>
    <s v="Isha Bhosale"/>
    <s v="Isha Bhosale"/>
    <x v="4"/>
    <s v="Maharashtra"/>
    <x v="8"/>
    <s v="Electronics"/>
    <n v="4"/>
    <n v="0.05"/>
    <n v="16213.1"/>
    <n v="61609.78"/>
    <n v="35024.04"/>
    <n v="26585.74"/>
    <s v="Net Banking"/>
    <s v="NET BANKING"/>
  </r>
  <r>
    <s v="ORD10170"/>
    <x v="257"/>
    <s v="Vivek More"/>
    <s v="Vivek More"/>
    <x v="7"/>
    <s v="Gujarat"/>
    <x v="9"/>
    <s v="Furniture"/>
    <n v="3"/>
    <n v="0"/>
    <n v="7797.17"/>
    <n v="23391.51"/>
    <n v="10599.51"/>
    <n v="12792"/>
    <s v="Credit Card"/>
    <s v="CREDIT CARD"/>
  </r>
  <r>
    <s v="ORD10260"/>
    <x v="257"/>
    <s v="Vivek More"/>
    <s v="Vivek More"/>
    <x v="0"/>
    <s v="Delhi"/>
    <x v="2"/>
    <s v="Electronics"/>
    <n v="4"/>
    <n v="0.05"/>
    <n v="50326.91"/>
    <n v="191242.26"/>
    <n v="171123.32"/>
    <n v="20118.939999999999"/>
    <s v="Credit Card"/>
    <s v="CREDIT CARD"/>
  </r>
  <r>
    <s v="ORD10218"/>
    <x v="258"/>
    <s v="Priya Patil"/>
    <s v="Priya Patil"/>
    <x v="1"/>
    <s v="Maharashtra"/>
    <x v="7"/>
    <s v="Electronics"/>
    <n v="5"/>
    <n v="0"/>
    <n v="21566.880000000001"/>
    <n v="107834.4"/>
    <n v="68341.8"/>
    <n v="39492.6"/>
    <s v="Debit Card"/>
    <s v="DEBIT CARD"/>
  </r>
  <r>
    <s v="ORD10111"/>
    <x v="258"/>
    <s v="Akash Wagh"/>
    <s v="Akash Wagh"/>
    <x v="8"/>
    <s v="Maharashtra"/>
    <x v="10"/>
    <s v="Electronics"/>
    <n v="2"/>
    <n v="0"/>
    <n v="18294.37"/>
    <n v="36588.74"/>
    <n v="15484.86"/>
    <n v="21103.88"/>
    <s v="Cash"/>
    <s v="CASH"/>
  </r>
  <r>
    <s v="ORD10321"/>
    <x v="259"/>
    <s v="Anjali Chavan"/>
    <s v="Anjali Chavan"/>
    <x v="5"/>
    <s v="Maharashtra"/>
    <x v="11"/>
    <s v="Accessories"/>
    <n v="3"/>
    <n v="0.05"/>
    <n v="1734.44"/>
    <n v="4943.1499999999996"/>
    <n v="1727.88"/>
    <n v="3215.27"/>
    <s v="Debit Card"/>
    <s v="DEBIT CARD"/>
  </r>
  <r>
    <s v="ORD10216"/>
    <x v="260"/>
    <s v="Aarav Sharma"/>
    <s v="Aarav Sharma"/>
    <x v="10"/>
    <s v="Karnataka"/>
    <x v="1"/>
    <s v="Furniture"/>
    <n v="4"/>
    <n v="0.15"/>
    <n v="8568.02"/>
    <n v="29131.27"/>
    <n v="18426.919999999998"/>
    <n v="10704.35"/>
    <s v="UPI"/>
    <s v="UPI"/>
  </r>
  <r>
    <s v="ORD10284"/>
    <x v="260"/>
    <s v="Kavita Singh"/>
    <s v="Kavita Singh"/>
    <x v="7"/>
    <s v="Gujarat"/>
    <x v="5"/>
    <s v="Furniture"/>
    <n v="5"/>
    <n v="0"/>
    <n v="6250.92"/>
    <n v="31254.6"/>
    <n v="12013.45"/>
    <n v="19241.150000000001"/>
    <s v="UPI"/>
    <s v="UPI"/>
  </r>
  <r>
    <s v="ORD10463"/>
    <x v="260"/>
    <s v="Pooja Shinde"/>
    <s v="Pooja Shinde"/>
    <x v="0"/>
    <s v="Delhi"/>
    <x v="7"/>
    <s v="Electronics"/>
    <n v="5"/>
    <n v="0.1"/>
    <n v="22313.67"/>
    <n v="100411.52"/>
    <n v="67049.899999999994"/>
    <n v="33361.620000000003"/>
    <s v="Debit Card"/>
    <s v="DEBIT CARD"/>
  </r>
  <r>
    <s v="ORD10154"/>
    <x v="261"/>
    <s v="Rohan Deshmukh"/>
    <s v="Rohan Deshmukh"/>
    <x v="10"/>
    <s v="Karnataka"/>
    <x v="2"/>
    <s v="Electronics"/>
    <n v="1"/>
    <n v="0.05"/>
    <n v="50750.98"/>
    <n v="48213.43"/>
    <n v="42562.82"/>
    <n v="5650.61"/>
    <s v="Debit Card"/>
    <s v="DEBIT CARD"/>
  </r>
  <r>
    <s v="ORD10128"/>
    <x v="261"/>
    <s v="Amit Verma"/>
    <s v="Amit Verma"/>
    <x v="2"/>
    <s v="Maharashtra"/>
    <x v="0"/>
    <s v="Electronics"/>
    <n v="4"/>
    <n v="0.05"/>
    <n v="11594.42"/>
    <n v="44058.8"/>
    <n v="26887.96"/>
    <n v="17170.84"/>
    <s v="Credit Card"/>
    <s v="CREDIT CARD"/>
  </r>
  <r>
    <s v="ORD10332"/>
    <x v="261"/>
    <s v="Rohan Deshmukh"/>
    <s v="Rohan Deshmukh"/>
    <x v="8"/>
    <s v="Maharashtra"/>
    <x v="2"/>
    <s v="Electronics"/>
    <n v="3"/>
    <n v="0.1"/>
    <n v="51771.09"/>
    <n v="139781.94"/>
    <n v="125287.53"/>
    <n v="14494.41"/>
    <s v="UPI"/>
    <s v="UPI"/>
  </r>
  <r>
    <s v="ORD10385"/>
    <x v="261"/>
    <s v="Aditya Joshi"/>
    <s v="Aditya Joshi"/>
    <x v="6"/>
    <s v="Telangana"/>
    <x v="8"/>
    <s v="Electronics"/>
    <n v="2"/>
    <n v="0.1"/>
    <n v="16062.55"/>
    <n v="28912.59"/>
    <n v="17608.46"/>
    <n v="11304.13"/>
    <s v="Net Banking"/>
    <s v="NET BANK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03657-793C-4439-99EC-449F89336B2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7" firstHeaderRow="1" firstDataRow="1" firstDataCol="1"/>
  <pivotFields count="18">
    <pivotField showAll="0"/>
    <pivotField numFmtId="14" showAll="0">
      <items count="2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0" showAll="0"/>
    <pivotField showAll="0"/>
    <pivotField dataField="1" showAll="0"/>
    <pivotField numFmtId="2" showAll="0"/>
    <pivotField numFmtId="2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7"/>
    <field x="16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1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A222C-48CF-4D5C-8315-847BC795474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6" firstHeaderRow="0" firstDataRow="1" firstDataCol="1"/>
  <pivotFields count="18">
    <pivotField showAll="0"/>
    <pivotField numFmtId="14" showAll="0">
      <items count="2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showAll="0"/>
    <pivotField showAll="0"/>
    <pivotField showAll="0"/>
    <pivotField showAll="0"/>
    <pivotField axis="axisRow" showAll="0">
      <items count="13">
        <item x="4"/>
        <item x="5"/>
        <item x="6"/>
        <item x="11"/>
        <item x="2"/>
        <item x="10"/>
        <item x="3"/>
        <item x="1"/>
        <item x="0"/>
        <item x="7"/>
        <item x="9"/>
        <item x="8"/>
        <item t="default"/>
      </items>
    </pivotField>
    <pivotField showAll="0"/>
    <pivotField numFmtId="1" showAll="0"/>
    <pivotField numFmtId="10" showAll="0"/>
    <pivotField showAll="0"/>
    <pivotField dataField="1" showAll="0"/>
    <pivotField numFmtId="2" showAll="0"/>
    <pivotField dataField="1" numFmtId="2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 numFmtId="2"/>
    <dataField name="Sum of Sales" fld="11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404CB-A011-45E1-A2B3-249C59AD542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6" firstHeaderRow="0" firstDataRow="1" firstDataCol="1"/>
  <pivotFields count="18">
    <pivotField showAll="0"/>
    <pivotField numFmtId="14" showAll="0">
      <items count="2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showAll="0"/>
    <pivotField showAll="0"/>
    <pivotField axis="axisRow" showAll="0">
      <items count="13">
        <item x="7"/>
        <item x="5"/>
        <item x="10"/>
        <item x="0"/>
        <item x="6"/>
        <item x="9"/>
        <item x="4"/>
        <item x="2"/>
        <item x="3"/>
        <item x="8"/>
        <item x="1"/>
        <item x="11"/>
        <item t="default"/>
      </items>
    </pivotField>
    <pivotField showAll="0"/>
    <pivotField showAll="0"/>
    <pivotField showAll="0"/>
    <pivotField numFmtId="1" showAll="0"/>
    <pivotField numFmtId="10" showAll="0"/>
    <pivotField showAll="0"/>
    <pivotField dataField="1" showAll="0"/>
    <pivotField numFmtId="2" showAll="0"/>
    <pivotField dataField="1" numFmtId="2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3" baseField="0" baseItem="0" numFmtId="2"/>
    <dataField name="Sum of Sales" fld="11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2B182-E5CF-4E92-90BA-2ABBD471C6F2}" name="SalesData" displayName="SalesData" ref="A1:P501" totalsRowShown="0" headerRowDxfId="12" headerRowBorderDxfId="11" tableBorderDxfId="10">
  <autoFilter ref="A1:P501" xr:uid="{3982B182-E5CF-4E92-90BA-2ABBD471C6F2}"/>
  <tableColumns count="16">
    <tableColumn id="1" xr3:uid="{556C79C8-89D4-45B8-9E99-45B08D680D5A}" name="Order ID" dataDxfId="7"/>
    <tableColumn id="2" xr3:uid="{A7C1078D-22A4-40EC-A8D7-887EAD539871}" name="Order Date" dataDxfId="6"/>
    <tableColumn id="3" xr3:uid="{EEA708B6-8D02-4ACA-ADED-CA0AA514D33E}" name="Customer Name"/>
    <tableColumn id="15" xr3:uid="{2F27B060-0453-4DB4-AE33-D87F278C1BD3}" name="Clean Customer Name" dataDxfId="9">
      <calculatedColumnFormula>TRIM(SalesData[[#This Row],[Customer Name]])</calculatedColumnFormula>
    </tableColumn>
    <tableColumn id="4" xr3:uid="{C2AFCDC7-4C48-4F99-B38A-66CD24F5FF41}" name="City"/>
    <tableColumn id="5" xr3:uid="{A082A458-EA45-4A6B-9A40-9077BC23E1D3}" name="State"/>
    <tableColumn id="6" xr3:uid="{2A7B92A2-CBA5-431D-91C8-993058FBAE37}" name="Product"/>
    <tableColumn id="7" xr3:uid="{15A281BE-1C2B-441E-A204-4C1BA91917BF}" name="Category"/>
    <tableColumn id="8" xr3:uid="{9B90BC48-171F-475B-A5AD-FA97AC7ECC7A}" name="Quantity" dataDxfId="5"/>
    <tableColumn id="9" xr3:uid="{0140960E-2455-417C-877E-A44CA1115848}" name="Discount" dataDxfId="3"/>
    <tableColumn id="10" xr3:uid="{691FF22A-21C7-444E-B545-21295C21AB9A}" name="Unit Price" dataDxfId="4"/>
    <tableColumn id="11" xr3:uid="{83BB74C0-2171-4181-9224-9A1CD135B9D4}" name="Sales"/>
    <tableColumn id="12" xr3:uid="{ED47D309-CDE5-4635-8CB9-DC46F81ECDDC}" name="Cost" dataDxfId="2"/>
    <tableColumn id="13" xr3:uid="{CDC4544D-1F7B-4308-95C6-34BB1F93589F}" name="Profit" dataDxfId="1"/>
    <tableColumn id="14" xr3:uid="{0027CEED-78E3-44C6-A8D5-167DDC6D820E}" name="Payment Mode"/>
    <tableColumn id="16" xr3:uid="{A344F622-AD24-4486-B985-4BBDDED9A8B2}" name="Clean Payment mode" dataDxfId="8">
      <calculatedColumnFormula>UPPER(TRIM(SalesData[[#This Row],[Payment Mode]]))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D785-DFDC-4C10-8A5E-679DDDEDD23C}">
  <dimension ref="A1:B8"/>
  <sheetViews>
    <sheetView tabSelected="1" topLeftCell="A2" workbookViewId="0">
      <selection activeCell="D30" sqref="D30"/>
    </sheetView>
  </sheetViews>
  <sheetFormatPr defaultRowHeight="14.5" x14ac:dyDescent="0.35"/>
  <cols>
    <col min="1" max="1" width="57.08984375" bestFit="1" customWidth="1"/>
    <col min="2" max="2" width="14.26953125" bestFit="1" customWidth="1"/>
  </cols>
  <sheetData>
    <row r="1" spans="1:2" ht="26" x14ac:dyDescent="0.6">
      <c r="A1" s="29" t="s">
        <v>602</v>
      </c>
    </row>
    <row r="3" spans="1:2" x14ac:dyDescent="0.35">
      <c r="A3" t="s">
        <v>579</v>
      </c>
      <c r="B3" s="13">
        <f>SUM(SalesData[Sales])</f>
        <v>17459813.189999998</v>
      </c>
    </row>
    <row r="4" spans="1:2" x14ac:dyDescent="0.35">
      <c r="A4" t="s">
        <v>580</v>
      </c>
      <c r="B4" s="13">
        <f>SUM(SalesData[Profit])</f>
        <v>6150715.4599999934</v>
      </c>
    </row>
    <row r="5" spans="1:2" x14ac:dyDescent="0.35">
      <c r="A5" t="s">
        <v>581</v>
      </c>
      <c r="B5">
        <f>COUNTA(SalesData[Order ID])</f>
        <v>500</v>
      </c>
    </row>
    <row r="6" spans="1:2" x14ac:dyDescent="0.35">
      <c r="A6" t="s">
        <v>582</v>
      </c>
      <c r="B6" s="10">
        <f>SUM(SalesData[Quantity])</f>
        <v>1503</v>
      </c>
    </row>
    <row r="7" spans="1:2" x14ac:dyDescent="0.35">
      <c r="A7" t="s">
        <v>583</v>
      </c>
      <c r="B7" s="13">
        <f>SUM(SalesData[Sales])/COUNTA(SalesData[Order ID])</f>
        <v>34919.626379999994</v>
      </c>
    </row>
    <row r="8" spans="1:2" x14ac:dyDescent="0.35">
      <c r="A8" t="s">
        <v>584</v>
      </c>
      <c r="B8" s="12">
        <f>SUM(SalesData[Profit])/SUM(SalesData[Sales])</f>
        <v>0.35227842320344976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6061-9467-437A-8290-5E3E8B6837AE}">
  <dimension ref="A3:C17"/>
  <sheetViews>
    <sheetView workbookViewId="0">
      <selection activeCell="K8" sqref="K8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3" x14ac:dyDescent="0.35">
      <c r="A3" s="14" t="s">
        <v>585</v>
      </c>
      <c r="B3" t="s">
        <v>599</v>
      </c>
    </row>
    <row r="4" spans="1:3" x14ac:dyDescent="0.35">
      <c r="A4" s="15" t="s">
        <v>600</v>
      </c>
      <c r="B4" s="16">
        <v>17459813.189999998</v>
      </c>
    </row>
    <row r="5" spans="1:3" x14ac:dyDescent="0.35">
      <c r="A5" s="18" t="s">
        <v>587</v>
      </c>
      <c r="B5" s="16">
        <v>1675861.4300000004</v>
      </c>
      <c r="C5">
        <f>MAX(B5:B16)</f>
        <v>2184862.5000000005</v>
      </c>
    </row>
    <row r="6" spans="1:3" x14ac:dyDescent="0.35">
      <c r="A6" s="18" t="s">
        <v>588</v>
      </c>
      <c r="B6" s="16">
        <v>974039.48999999987</v>
      </c>
    </row>
    <row r="7" spans="1:3" x14ac:dyDescent="0.35">
      <c r="A7" s="18" t="s">
        <v>589</v>
      </c>
      <c r="B7" s="16">
        <v>1539941.5599999996</v>
      </c>
    </row>
    <row r="8" spans="1:3" x14ac:dyDescent="0.35">
      <c r="A8" s="18" t="s">
        <v>590</v>
      </c>
      <c r="B8" s="16">
        <v>2052366.78</v>
      </c>
    </row>
    <row r="9" spans="1:3" x14ac:dyDescent="0.35">
      <c r="A9" s="18" t="s">
        <v>591</v>
      </c>
      <c r="B9" s="16">
        <v>2184862.5000000005</v>
      </c>
    </row>
    <row r="10" spans="1:3" x14ac:dyDescent="0.35">
      <c r="A10" s="18" t="s">
        <v>592</v>
      </c>
      <c r="B10" s="16">
        <v>1282670.21</v>
      </c>
    </row>
    <row r="11" spans="1:3" x14ac:dyDescent="0.35">
      <c r="A11" s="18" t="s">
        <v>593</v>
      </c>
      <c r="B11" s="16">
        <v>1043490.5200000001</v>
      </c>
    </row>
    <row r="12" spans="1:3" x14ac:dyDescent="0.35">
      <c r="A12" s="18" t="s">
        <v>594</v>
      </c>
      <c r="B12" s="16">
        <v>1285625.9099999999</v>
      </c>
    </row>
    <row r="13" spans="1:3" x14ac:dyDescent="0.35">
      <c r="A13" s="18" t="s">
        <v>595</v>
      </c>
      <c r="B13" s="16">
        <v>1492241.9900000002</v>
      </c>
    </row>
    <row r="14" spans="1:3" x14ac:dyDescent="0.35">
      <c r="A14" s="18" t="s">
        <v>596</v>
      </c>
      <c r="B14" s="16">
        <v>1425739.4799999997</v>
      </c>
    </row>
    <row r="15" spans="1:3" x14ac:dyDescent="0.35">
      <c r="A15" s="18" t="s">
        <v>597</v>
      </c>
      <c r="B15" s="16">
        <v>1007807.9900000001</v>
      </c>
    </row>
    <row r="16" spans="1:3" x14ac:dyDescent="0.35">
      <c r="A16" s="18" t="s">
        <v>598</v>
      </c>
      <c r="B16" s="16">
        <v>1495165.33</v>
      </c>
    </row>
    <row r="17" spans="1:2" x14ac:dyDescent="0.35">
      <c r="A17" s="15" t="s">
        <v>586</v>
      </c>
      <c r="B17" s="16">
        <v>17459813.189999998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C403-3F27-4213-A5EC-2BC6D88220CC}">
  <dimension ref="A3:I16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3" width="11.81640625" bestFit="1" customWidth="1"/>
    <col min="6" max="6" width="11.36328125" bestFit="1" customWidth="1"/>
    <col min="7" max="7" width="11.26953125" bestFit="1" customWidth="1"/>
    <col min="8" max="8" width="11.81640625" bestFit="1" customWidth="1"/>
  </cols>
  <sheetData>
    <row r="3" spans="1:9" x14ac:dyDescent="0.35">
      <c r="A3" s="14" t="s">
        <v>585</v>
      </c>
      <c r="B3" t="s">
        <v>601</v>
      </c>
      <c r="C3" t="s">
        <v>599</v>
      </c>
      <c r="F3" s="17" t="s">
        <v>585</v>
      </c>
      <c r="G3" s="17" t="s">
        <v>599</v>
      </c>
      <c r="H3" s="17" t="s">
        <v>601</v>
      </c>
      <c r="I3" s="19" t="s">
        <v>584</v>
      </c>
    </row>
    <row r="4" spans="1:9" x14ac:dyDescent="0.35">
      <c r="A4" s="15" t="s">
        <v>41</v>
      </c>
      <c r="B4" s="8">
        <v>154384.40999999997</v>
      </c>
      <c r="C4" s="16">
        <v>263234.93999999994</v>
      </c>
      <c r="D4" s="12">
        <f>GETPIVOTDATA("Sum of Profit",$A$3,"Product","Backpack")/GETPIVOTDATA("Sum of Sales",$A$3,"Product","Backpack")</f>
        <v>0.58648905042772825</v>
      </c>
      <c r="F4" s="26" t="s">
        <v>35</v>
      </c>
      <c r="G4" s="27">
        <v>162087.09999999998</v>
      </c>
      <c r="H4" s="28">
        <v>112078.96999999997</v>
      </c>
      <c r="I4" s="12">
        <f>H4/G4</f>
        <v>0.6914737199937564</v>
      </c>
    </row>
    <row r="5" spans="1:9" x14ac:dyDescent="0.35">
      <c r="A5" s="15" t="s">
        <v>47</v>
      </c>
      <c r="B5" s="8">
        <v>426326.24999999994</v>
      </c>
      <c r="C5" s="16">
        <v>751983.14</v>
      </c>
      <c r="D5" s="12">
        <f>IFERROR(GETPIVOTDATA("Sum of Profit",C4,"Product","Backpack")/GETPIVOTDATA("Sum of Sales",B4,"Product","Backpack"),0)</f>
        <v>0.58648905042772825</v>
      </c>
      <c r="F5" s="15" t="s">
        <v>107</v>
      </c>
      <c r="G5" s="16">
        <v>254680.34000000005</v>
      </c>
      <c r="H5" s="8">
        <v>165842.06000000003</v>
      </c>
      <c r="I5" s="12">
        <f>H5/G5</f>
        <v>0.65117731506091125</v>
      </c>
    </row>
    <row r="6" spans="1:9" x14ac:dyDescent="0.35">
      <c r="A6" s="15" t="s">
        <v>60</v>
      </c>
      <c r="B6" s="8">
        <v>310466.58999999997</v>
      </c>
      <c r="C6" s="16">
        <v>481736.49999999983</v>
      </c>
      <c r="D6" s="12">
        <f t="shared" ref="D6:D16" si="0">IFERROR(GETPIVOTDATA("Sum of Profit",C5,"Product","Backpack")/GETPIVOTDATA("Sum of Sales",B5,"Product","Backpack"),0)</f>
        <v>0.58648905042772825</v>
      </c>
      <c r="F6" s="15" t="s">
        <v>60</v>
      </c>
      <c r="G6" s="16">
        <v>481736.49999999983</v>
      </c>
      <c r="H6" s="8">
        <v>310466.58999999997</v>
      </c>
      <c r="I6" s="12">
        <f>H6/G6</f>
        <v>0.6444738773167491</v>
      </c>
    </row>
    <row r="7" spans="1:9" x14ac:dyDescent="0.35">
      <c r="A7" s="15" t="s">
        <v>107</v>
      </c>
      <c r="B7" s="8">
        <v>165842.06000000003</v>
      </c>
      <c r="C7" s="16">
        <v>254680.34000000005</v>
      </c>
      <c r="D7" s="12">
        <f t="shared" si="0"/>
        <v>0.58648905042772825</v>
      </c>
      <c r="F7" s="15" t="s">
        <v>41</v>
      </c>
      <c r="G7" s="16">
        <v>263234.93999999994</v>
      </c>
      <c r="H7" s="8">
        <v>154384.40999999997</v>
      </c>
      <c r="I7" s="12">
        <f>H7/G7</f>
        <v>0.58648905042772825</v>
      </c>
    </row>
    <row r="8" spans="1:9" x14ac:dyDescent="0.35">
      <c r="A8" s="15" t="s">
        <v>32</v>
      </c>
      <c r="B8" s="8">
        <v>1042288.1000000001</v>
      </c>
      <c r="C8" s="16">
        <v>6722755.8299999991</v>
      </c>
      <c r="D8" s="12">
        <f t="shared" si="0"/>
        <v>0.58648905042772825</v>
      </c>
      <c r="F8" s="15" t="s">
        <v>47</v>
      </c>
      <c r="G8" s="16">
        <v>751983.14</v>
      </c>
      <c r="H8" s="8">
        <v>426326.24999999994</v>
      </c>
      <c r="I8" s="12">
        <f>H8/G8</f>
        <v>0.56693591561108658</v>
      </c>
    </row>
    <row r="9" spans="1:9" x14ac:dyDescent="0.35">
      <c r="A9" s="15" t="s">
        <v>101</v>
      </c>
      <c r="B9" s="8">
        <v>1290603.3800000004</v>
      </c>
      <c r="C9" s="16">
        <v>2413246.1900000004</v>
      </c>
      <c r="D9" s="12">
        <f t="shared" si="0"/>
        <v>0.58648905042772825</v>
      </c>
      <c r="F9" s="15" t="s">
        <v>101</v>
      </c>
      <c r="G9" s="16">
        <v>2413246.1900000004</v>
      </c>
      <c r="H9" s="8">
        <v>1290603.3800000004</v>
      </c>
      <c r="I9" s="12">
        <f>H9/G9</f>
        <v>0.53479971722238584</v>
      </c>
    </row>
    <row r="10" spans="1:9" x14ac:dyDescent="0.35">
      <c r="A10" s="15" t="s">
        <v>35</v>
      </c>
      <c r="B10" s="8">
        <v>112078.96999999997</v>
      </c>
      <c r="C10" s="16">
        <v>162087.09999999998</v>
      </c>
      <c r="D10" s="12">
        <f t="shared" si="0"/>
        <v>0.58648905042772825</v>
      </c>
      <c r="F10" s="15" t="s">
        <v>77</v>
      </c>
      <c r="G10" s="16">
        <v>781779.29999999993</v>
      </c>
      <c r="H10" s="8">
        <v>401516.36999999988</v>
      </c>
      <c r="I10" s="12">
        <f>H10/G10</f>
        <v>0.5135929922933492</v>
      </c>
    </row>
    <row r="11" spans="1:9" x14ac:dyDescent="0.35">
      <c r="A11" s="15" t="s">
        <v>24</v>
      </c>
      <c r="B11" s="8">
        <v>505872.56000000006</v>
      </c>
      <c r="C11" s="16">
        <v>1067153.54</v>
      </c>
      <c r="D11" s="12">
        <f t="shared" si="0"/>
        <v>0.58648905042772825</v>
      </c>
      <c r="F11" s="15" t="s">
        <v>24</v>
      </c>
      <c r="G11" s="16">
        <v>1067153.54</v>
      </c>
      <c r="H11" s="8">
        <v>505872.56000000006</v>
      </c>
      <c r="I11" s="12">
        <f>H11/G11</f>
        <v>0.47403915279145309</v>
      </c>
    </row>
    <row r="12" spans="1:9" x14ac:dyDescent="0.35">
      <c r="A12" s="15" t="s">
        <v>17</v>
      </c>
      <c r="B12" s="8">
        <v>390480.38000000006</v>
      </c>
      <c r="C12" s="16">
        <v>915758.97000000032</v>
      </c>
      <c r="D12" s="12">
        <f t="shared" si="0"/>
        <v>0.58648905042772825</v>
      </c>
      <c r="F12" s="15" t="s">
        <v>17</v>
      </c>
      <c r="G12" s="16">
        <v>915758.97000000032</v>
      </c>
      <c r="H12" s="8">
        <v>390480.38000000006</v>
      </c>
      <c r="I12" s="12">
        <f>H12/G12</f>
        <v>0.4264008246624108</v>
      </c>
    </row>
    <row r="13" spans="1:9" x14ac:dyDescent="0.35">
      <c r="A13" s="15" t="s">
        <v>65</v>
      </c>
      <c r="B13" s="8">
        <v>784042.37</v>
      </c>
      <c r="C13" s="16">
        <v>2265228.5799999996</v>
      </c>
      <c r="D13" s="12">
        <f t="shared" si="0"/>
        <v>0.58648905042772825</v>
      </c>
      <c r="F13" s="15" t="s">
        <v>75</v>
      </c>
      <c r="G13" s="16">
        <v>1380168.7600000002</v>
      </c>
      <c r="H13" s="8">
        <v>566814.02</v>
      </c>
      <c r="I13" s="12">
        <f>H13/G13</f>
        <v>0.4106845745443477</v>
      </c>
    </row>
    <row r="14" spans="1:9" x14ac:dyDescent="0.35">
      <c r="A14" s="15" t="s">
        <v>77</v>
      </c>
      <c r="B14" s="8">
        <v>401516.36999999988</v>
      </c>
      <c r="C14" s="16">
        <v>781779.29999999993</v>
      </c>
      <c r="D14" s="12">
        <f t="shared" si="0"/>
        <v>0.58648905042772825</v>
      </c>
      <c r="F14" s="20" t="s">
        <v>586</v>
      </c>
      <c r="G14" s="22">
        <v>17459813.190000005</v>
      </c>
      <c r="H14" s="24">
        <v>6150715.4600000009</v>
      </c>
      <c r="I14" s="12">
        <f>H14/G14</f>
        <v>0.35227842320345004</v>
      </c>
    </row>
    <row r="15" spans="1:9" x14ac:dyDescent="0.35">
      <c r="A15" s="15" t="s">
        <v>75</v>
      </c>
      <c r="B15" s="8">
        <v>566814.02</v>
      </c>
      <c r="C15" s="16">
        <v>1380168.7600000002</v>
      </c>
      <c r="D15" s="12">
        <f t="shared" si="0"/>
        <v>0.58648905042772825</v>
      </c>
      <c r="F15" s="15" t="s">
        <v>65</v>
      </c>
      <c r="G15" s="16">
        <v>2265228.5799999996</v>
      </c>
      <c r="H15" s="8">
        <v>784042.37</v>
      </c>
      <c r="I15" s="12">
        <f>H15/G15</f>
        <v>0.34612064182944402</v>
      </c>
    </row>
    <row r="16" spans="1:9" x14ac:dyDescent="0.35">
      <c r="A16" s="15" t="s">
        <v>586</v>
      </c>
      <c r="B16" s="8">
        <v>6150715.4600000009</v>
      </c>
      <c r="C16" s="16">
        <v>17459813.190000005</v>
      </c>
      <c r="D16" s="12">
        <f t="shared" si="0"/>
        <v>0.58648905042772825</v>
      </c>
      <c r="F16" s="21" t="s">
        <v>32</v>
      </c>
      <c r="G16" s="23">
        <v>6722755.8299999991</v>
      </c>
      <c r="H16" s="25">
        <v>1042288.1000000001</v>
      </c>
      <c r="I16" s="12">
        <f>H16/G16</f>
        <v>0.15503881538413694</v>
      </c>
    </row>
  </sheetData>
  <autoFilter ref="F3:I16" xr:uid="{27C8C403-3F27-4213-A5EC-2BC6D88220CC}">
    <sortState xmlns:xlrd2="http://schemas.microsoft.com/office/spreadsheetml/2017/richdata2" ref="F4:I16">
      <sortCondition descending="1" ref="I3:I16"/>
    </sortState>
  </autoFilter>
  <sortState xmlns:xlrd2="http://schemas.microsoft.com/office/spreadsheetml/2017/richdata2" columnSort="1" ref="A3:C16">
    <sortCondition ref="B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1E57-9911-4C93-86B6-3D8B93A1EE3A}">
  <dimension ref="A3:C16"/>
  <sheetViews>
    <sheetView workbookViewId="0">
      <selection activeCell="B13" sqref="B13"/>
    </sheetView>
  </sheetViews>
  <sheetFormatPr defaultRowHeight="14.5" x14ac:dyDescent="0.35"/>
  <cols>
    <col min="1" max="1" width="12.36328125" bestFit="1" customWidth="1"/>
    <col min="2" max="3" width="11.81640625" bestFit="1" customWidth="1"/>
  </cols>
  <sheetData>
    <row r="3" spans="1:3" x14ac:dyDescent="0.35">
      <c r="A3" s="14" t="s">
        <v>585</v>
      </c>
      <c r="B3" t="s">
        <v>601</v>
      </c>
      <c r="C3" t="s">
        <v>599</v>
      </c>
    </row>
    <row r="4" spans="1:3" x14ac:dyDescent="0.35">
      <c r="A4" s="15" t="s">
        <v>73</v>
      </c>
      <c r="B4" s="8">
        <v>583884.16</v>
      </c>
      <c r="C4" s="16">
        <v>1863284.7900000005</v>
      </c>
    </row>
    <row r="5" spans="1:3" x14ac:dyDescent="0.35">
      <c r="A5" s="15" t="s">
        <v>46</v>
      </c>
      <c r="B5" s="8">
        <v>743714.75</v>
      </c>
      <c r="C5" s="16">
        <v>1981591.2899999996</v>
      </c>
    </row>
    <row r="6" spans="1:3" x14ac:dyDescent="0.35">
      <c r="A6" s="15" t="s">
        <v>105</v>
      </c>
      <c r="B6" s="8">
        <v>397479.17999999993</v>
      </c>
      <c r="C6" s="16">
        <v>1024502.5300000001</v>
      </c>
    </row>
    <row r="7" spans="1:3" x14ac:dyDescent="0.35">
      <c r="A7" s="15" t="s">
        <v>16</v>
      </c>
      <c r="B7" s="8">
        <v>534001.77999999991</v>
      </c>
      <c r="C7" s="16">
        <v>1430800.25</v>
      </c>
    </row>
    <row r="8" spans="1:3" x14ac:dyDescent="0.35">
      <c r="A8" s="15" t="s">
        <v>53</v>
      </c>
      <c r="B8" s="8">
        <v>635407.87000000011</v>
      </c>
      <c r="C8" s="16">
        <v>1780649.5599999998</v>
      </c>
    </row>
    <row r="9" spans="1:3" x14ac:dyDescent="0.35">
      <c r="A9" s="15" t="s">
        <v>86</v>
      </c>
      <c r="B9" s="8">
        <v>475306.7099999999</v>
      </c>
      <c r="C9" s="16">
        <v>1375406.5499999993</v>
      </c>
    </row>
    <row r="10" spans="1:3" x14ac:dyDescent="0.35">
      <c r="A10" s="15" t="s">
        <v>40</v>
      </c>
      <c r="B10" s="8">
        <v>430941.36</v>
      </c>
      <c r="C10" s="16">
        <v>1267670.3900000001</v>
      </c>
    </row>
    <row r="11" spans="1:3" x14ac:dyDescent="0.35">
      <c r="A11" s="15" t="s">
        <v>28</v>
      </c>
      <c r="B11" s="8">
        <v>593726.2699999999</v>
      </c>
      <c r="C11" s="16">
        <v>1769670.61</v>
      </c>
    </row>
    <row r="12" spans="1:3" x14ac:dyDescent="0.35">
      <c r="A12" s="15" t="s">
        <v>31</v>
      </c>
      <c r="B12" s="8">
        <v>547110.60999999987</v>
      </c>
      <c r="C12" s="16">
        <v>1574293.7900000003</v>
      </c>
    </row>
    <row r="13" spans="1:3" x14ac:dyDescent="0.35">
      <c r="A13" s="15" t="s">
        <v>83</v>
      </c>
      <c r="B13" s="8">
        <v>575683.89</v>
      </c>
      <c r="C13" s="16">
        <v>1801343.9899999998</v>
      </c>
    </row>
    <row r="14" spans="1:3" x14ac:dyDescent="0.35">
      <c r="A14" s="15" t="s">
        <v>22</v>
      </c>
      <c r="B14" s="8">
        <v>632539.96</v>
      </c>
      <c r="C14" s="16">
        <v>1588955.3099999998</v>
      </c>
    </row>
    <row r="15" spans="1:3" x14ac:dyDescent="0.35">
      <c r="A15" s="15" t="s">
        <v>135</v>
      </c>
      <c r="B15" s="8">
        <v>918.92</v>
      </c>
      <c r="C15" s="16">
        <v>1644.13</v>
      </c>
    </row>
    <row r="16" spans="1:3" x14ac:dyDescent="0.35">
      <c r="A16" s="15" t="s">
        <v>586</v>
      </c>
      <c r="B16" s="8">
        <v>6150715.459999999</v>
      </c>
      <c r="C16" s="16">
        <v>17459813.189999998</v>
      </c>
    </row>
  </sheetData>
  <sortState xmlns:xlrd2="http://schemas.microsoft.com/office/spreadsheetml/2017/richdata2" columnSort="1" ref="A3:C16">
    <sortCondition ref="B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opLeftCell="A2" workbookViewId="0">
      <selection activeCell="C7" sqref="C7"/>
    </sheetView>
  </sheetViews>
  <sheetFormatPr defaultRowHeight="14.5" x14ac:dyDescent="0.35"/>
  <cols>
    <col min="1" max="1" width="10" style="4" customWidth="1"/>
    <col min="2" max="2" width="17.81640625" style="6" bestFit="1" customWidth="1"/>
    <col min="3" max="3" width="19" bestFit="1" customWidth="1"/>
    <col min="4" max="4" width="19" customWidth="1"/>
    <col min="7" max="7" width="12" bestFit="1" customWidth="1"/>
    <col min="8" max="8" width="10.26953125" customWidth="1"/>
    <col min="9" max="9" width="10.1796875" style="10" customWidth="1"/>
    <col min="10" max="10" width="10.1796875" style="12" customWidth="1"/>
    <col min="11" max="11" width="10.90625" style="8" customWidth="1"/>
    <col min="12" max="12" width="9.81640625" bestFit="1" customWidth="1"/>
    <col min="13" max="13" width="9.36328125" style="8" bestFit="1" customWidth="1"/>
    <col min="14" max="14" width="8.7265625" style="8"/>
    <col min="15" max="15" width="15.6328125" customWidth="1"/>
    <col min="16" max="16" width="23.36328125" bestFit="1" customWidth="1"/>
  </cols>
  <sheetData>
    <row r="1" spans="1:18" x14ac:dyDescent="0.35">
      <c r="A1" s="3" t="s">
        <v>0</v>
      </c>
      <c r="B1" s="5" t="s">
        <v>1</v>
      </c>
      <c r="C1" s="1" t="s">
        <v>2</v>
      </c>
      <c r="D1" s="2" t="s">
        <v>577</v>
      </c>
      <c r="E1" s="1" t="s">
        <v>3</v>
      </c>
      <c r="F1" s="1" t="s">
        <v>4</v>
      </c>
      <c r="G1" s="1" t="s">
        <v>5</v>
      </c>
      <c r="H1" s="1" t="s">
        <v>6</v>
      </c>
      <c r="I1" s="9" t="s">
        <v>7</v>
      </c>
      <c r="J1" s="11" t="s">
        <v>8</v>
      </c>
      <c r="K1" s="7" t="s">
        <v>9</v>
      </c>
      <c r="L1" s="1" t="s">
        <v>10</v>
      </c>
      <c r="M1" s="7" t="s">
        <v>11</v>
      </c>
      <c r="N1" s="7" t="s">
        <v>12</v>
      </c>
      <c r="O1" s="1" t="s">
        <v>13</v>
      </c>
      <c r="P1" s="1" t="s">
        <v>578</v>
      </c>
    </row>
    <row r="2" spans="1:18" x14ac:dyDescent="0.35">
      <c r="A2" s="4" t="s">
        <v>14</v>
      </c>
      <c r="B2" s="6">
        <v>45658</v>
      </c>
      <c r="C2" t="s">
        <v>15</v>
      </c>
      <c r="D2" t="str">
        <f>TRIM(SalesData[[#This Row],[Customer Name]])</f>
        <v>Isha Bhosale</v>
      </c>
      <c r="E2" t="s">
        <v>16</v>
      </c>
      <c r="F2" t="s">
        <v>16</v>
      </c>
      <c r="G2" t="s">
        <v>17</v>
      </c>
      <c r="H2" t="s">
        <v>18</v>
      </c>
      <c r="I2" s="10">
        <v>4</v>
      </c>
      <c r="J2" s="12">
        <v>0.1</v>
      </c>
      <c r="K2" s="8">
        <v>11917.07</v>
      </c>
      <c r="L2">
        <v>42901.45</v>
      </c>
      <c r="M2" s="8">
        <v>25346.639999999999</v>
      </c>
      <c r="N2" s="8">
        <v>17554.810000000001</v>
      </c>
      <c r="O2" t="s">
        <v>19</v>
      </c>
      <c r="P2" t="str">
        <f>UPPER(TRIM(SalesData[[#This Row],[Payment Mode]]))</f>
        <v>CASH</v>
      </c>
      <c r="R2">
        <f>COUNTBLANK(SalesData[[#This Row],[Customer Name]])</f>
        <v>0</v>
      </c>
    </row>
    <row r="3" spans="1:18" x14ac:dyDescent="0.35">
      <c r="A3" s="4" t="s">
        <v>20</v>
      </c>
      <c r="B3" s="6">
        <v>45659</v>
      </c>
      <c r="C3" t="s">
        <v>21</v>
      </c>
      <c r="D3" t="str">
        <f>TRIM(SalesData[[#This Row],[Customer Name]])</f>
        <v>Aarav Sharma</v>
      </c>
      <c r="E3" t="s">
        <v>22</v>
      </c>
      <c r="F3" t="s">
        <v>23</v>
      </c>
      <c r="G3" t="s">
        <v>24</v>
      </c>
      <c r="H3" t="s">
        <v>25</v>
      </c>
      <c r="I3" s="10">
        <v>5</v>
      </c>
      <c r="J3" s="12">
        <v>0</v>
      </c>
      <c r="K3" s="8">
        <v>8713.2900000000009</v>
      </c>
      <c r="L3">
        <v>43566.45</v>
      </c>
      <c r="M3" s="8">
        <v>22686.85</v>
      </c>
      <c r="N3" s="8">
        <v>20879.599999999999</v>
      </c>
      <c r="O3" t="s">
        <v>26</v>
      </c>
      <c r="P3" t="str">
        <f>UPPER(TRIM(SalesData[[#This Row],[Payment Mode]]))</f>
        <v>NET BANKING</v>
      </c>
      <c r="R3">
        <f>COUNTBLANK(SalesData[[#This Row],[Product]])</f>
        <v>0</v>
      </c>
    </row>
    <row r="4" spans="1:18" x14ac:dyDescent="0.35">
      <c r="A4" s="4" t="s">
        <v>27</v>
      </c>
      <c r="B4" s="6">
        <v>45659</v>
      </c>
      <c r="C4" t="s">
        <v>21</v>
      </c>
      <c r="D4" t="str">
        <f>TRIM(SalesData[[#This Row],[Customer Name]])</f>
        <v>Aarav Sharma</v>
      </c>
      <c r="E4" t="s">
        <v>28</v>
      </c>
      <c r="F4" t="s">
        <v>23</v>
      </c>
      <c r="G4" t="s">
        <v>24</v>
      </c>
      <c r="H4" t="s">
        <v>25</v>
      </c>
      <c r="I4" s="10">
        <v>4</v>
      </c>
      <c r="J4" s="12">
        <v>0</v>
      </c>
      <c r="K4" s="8">
        <v>9433.9500000000007</v>
      </c>
      <c r="L4">
        <v>37735.800000000003</v>
      </c>
      <c r="M4" s="8">
        <v>18029.96</v>
      </c>
      <c r="N4" s="8">
        <v>19705.84</v>
      </c>
      <c r="O4" t="s">
        <v>19</v>
      </c>
      <c r="P4" t="str">
        <f>UPPER(TRIM(SalesData[[#This Row],[Payment Mode]]))</f>
        <v>CASH</v>
      </c>
      <c r="R4">
        <f>COUNTBLANK(SalesData[[#This Row],[Sales]])</f>
        <v>0</v>
      </c>
    </row>
    <row r="5" spans="1:18" x14ac:dyDescent="0.35">
      <c r="A5" s="4" t="s">
        <v>29</v>
      </c>
      <c r="B5" s="6">
        <v>45660</v>
      </c>
      <c r="C5" t="s">
        <v>30</v>
      </c>
      <c r="D5" t="str">
        <f>TRIM(SalesData[[#This Row],[Customer Name]])</f>
        <v>Swati Kale</v>
      </c>
      <c r="E5" t="s">
        <v>31</v>
      </c>
      <c r="F5" t="s">
        <v>23</v>
      </c>
      <c r="G5" t="s">
        <v>32</v>
      </c>
      <c r="H5" t="s">
        <v>18</v>
      </c>
      <c r="I5" s="10">
        <v>4</v>
      </c>
      <c r="J5" s="12">
        <v>0</v>
      </c>
      <c r="K5" s="8">
        <v>53753.02</v>
      </c>
      <c r="L5">
        <v>215012.08</v>
      </c>
      <c r="M5" s="8">
        <v>170008.04</v>
      </c>
      <c r="N5" s="8">
        <v>45004.04</v>
      </c>
      <c r="O5" t="s">
        <v>26</v>
      </c>
      <c r="P5" t="str">
        <f>UPPER(TRIM(SalesData[[#This Row],[Payment Mode]]))</f>
        <v>NET BANKING</v>
      </c>
    </row>
    <row r="6" spans="1:18" x14ac:dyDescent="0.35">
      <c r="A6" s="4" t="s">
        <v>33</v>
      </c>
      <c r="B6" s="6">
        <v>45660</v>
      </c>
      <c r="C6" t="s">
        <v>34</v>
      </c>
      <c r="D6" t="str">
        <f>TRIM(SalesData[[#This Row],[Customer Name]])</f>
        <v>Meera Desai</v>
      </c>
      <c r="E6" t="s">
        <v>31</v>
      </c>
      <c r="F6" t="s">
        <v>23</v>
      </c>
      <c r="G6" t="s">
        <v>35</v>
      </c>
      <c r="H6" t="s">
        <v>36</v>
      </c>
      <c r="I6" s="10">
        <v>4</v>
      </c>
      <c r="J6" s="12">
        <v>0.15</v>
      </c>
      <c r="K6" s="8">
        <v>1207.0899999999999</v>
      </c>
      <c r="L6">
        <v>4104.1099999999997</v>
      </c>
      <c r="M6" s="8">
        <v>1374.96</v>
      </c>
      <c r="N6" s="8">
        <v>2729.15</v>
      </c>
      <c r="O6" t="s">
        <v>37</v>
      </c>
      <c r="P6" t="str">
        <f>UPPER(TRIM(SalesData[[#This Row],[Payment Mode]]))</f>
        <v>DEBIT CARD</v>
      </c>
    </row>
    <row r="7" spans="1:18" x14ac:dyDescent="0.35">
      <c r="A7" s="4" t="s">
        <v>38</v>
      </c>
      <c r="B7" s="6">
        <v>45660</v>
      </c>
      <c r="C7" t="s">
        <v>39</v>
      </c>
      <c r="D7" t="str">
        <f>TRIM(SalesData[[#This Row],[Customer Name]])</f>
        <v>Akash Wagh</v>
      </c>
      <c r="E7" t="s">
        <v>40</v>
      </c>
      <c r="F7" t="s">
        <v>23</v>
      </c>
      <c r="G7" t="s">
        <v>41</v>
      </c>
      <c r="H7" t="s">
        <v>42</v>
      </c>
      <c r="I7" s="10">
        <v>5</v>
      </c>
      <c r="J7" s="12">
        <v>0</v>
      </c>
      <c r="K7" s="8">
        <v>1748.41</v>
      </c>
      <c r="L7">
        <v>8742.0499999999993</v>
      </c>
      <c r="M7" s="8">
        <v>3557.8</v>
      </c>
      <c r="N7" s="8">
        <v>5184.25</v>
      </c>
      <c r="O7" t="s">
        <v>43</v>
      </c>
      <c r="P7" t="str">
        <f>UPPER(TRIM(SalesData[[#This Row],[Payment Mode]]))</f>
        <v>UPI</v>
      </c>
    </row>
    <row r="8" spans="1:18" x14ac:dyDescent="0.35">
      <c r="A8" s="4" t="s">
        <v>44</v>
      </c>
      <c r="B8" s="6">
        <v>45662</v>
      </c>
      <c r="C8" t="s">
        <v>45</v>
      </c>
      <c r="D8" t="str">
        <f>TRIM(SalesData[[#This Row],[Customer Name]])</f>
        <v>Nikhil Gupta</v>
      </c>
      <c r="E8" t="s">
        <v>46</v>
      </c>
      <c r="F8" t="s">
        <v>23</v>
      </c>
      <c r="G8" t="s">
        <v>47</v>
      </c>
      <c r="H8" t="s">
        <v>25</v>
      </c>
      <c r="I8" s="10">
        <v>2</v>
      </c>
      <c r="J8" s="12">
        <v>0</v>
      </c>
      <c r="K8" s="8">
        <v>6138.5</v>
      </c>
      <c r="L8">
        <v>12277</v>
      </c>
      <c r="M8" s="8">
        <v>4828.08</v>
      </c>
      <c r="N8" s="8">
        <v>7448.92</v>
      </c>
      <c r="O8" t="s">
        <v>48</v>
      </c>
      <c r="P8" t="str">
        <f>UPPER(TRIM(SalesData[[#This Row],[Payment Mode]]))</f>
        <v>CREDIT CARD</v>
      </c>
    </row>
    <row r="9" spans="1:18" x14ac:dyDescent="0.35">
      <c r="A9" s="4" t="s">
        <v>49</v>
      </c>
      <c r="B9" s="6">
        <v>45662</v>
      </c>
      <c r="C9" t="s">
        <v>50</v>
      </c>
      <c r="D9" t="str">
        <f>TRIM(SalesData[[#This Row],[Customer Name]])</f>
        <v>Priya Patil</v>
      </c>
      <c r="E9" t="s">
        <v>40</v>
      </c>
      <c r="F9" t="s">
        <v>23</v>
      </c>
      <c r="G9" t="s">
        <v>32</v>
      </c>
      <c r="H9" t="s">
        <v>18</v>
      </c>
      <c r="I9" s="10">
        <v>2</v>
      </c>
      <c r="J9" s="12">
        <v>0</v>
      </c>
      <c r="K9" s="8">
        <v>51783.16</v>
      </c>
      <c r="L9">
        <v>103566.32</v>
      </c>
      <c r="M9" s="8">
        <v>83871.44</v>
      </c>
      <c r="N9" s="8">
        <v>19694.88</v>
      </c>
      <c r="O9" t="s">
        <v>43</v>
      </c>
      <c r="P9" t="str">
        <f>UPPER(TRIM(SalesData[[#This Row],[Payment Mode]]))</f>
        <v>UPI</v>
      </c>
    </row>
    <row r="10" spans="1:18" x14ac:dyDescent="0.35">
      <c r="A10" s="4" t="s">
        <v>51</v>
      </c>
      <c r="B10" s="6">
        <v>45662</v>
      </c>
      <c r="C10" t="s">
        <v>34</v>
      </c>
      <c r="D10" t="str">
        <f>TRIM(SalesData[[#This Row],[Customer Name]])</f>
        <v>Meera Desai</v>
      </c>
      <c r="E10" t="s">
        <v>28</v>
      </c>
      <c r="F10" t="s">
        <v>23</v>
      </c>
      <c r="G10" t="s">
        <v>47</v>
      </c>
      <c r="H10" t="s">
        <v>25</v>
      </c>
      <c r="I10" s="10">
        <v>5</v>
      </c>
      <c r="J10" s="12">
        <v>0</v>
      </c>
      <c r="K10" s="8" t="s">
        <v>576</v>
      </c>
      <c r="L10">
        <v>29558.9</v>
      </c>
      <c r="M10" s="8">
        <v>12651.6</v>
      </c>
      <c r="N10" s="8">
        <v>16907.3</v>
      </c>
      <c r="O10" t="s">
        <v>26</v>
      </c>
      <c r="P10" t="str">
        <f>UPPER(TRIM(SalesData[[#This Row],[Payment Mode]]))</f>
        <v>NET BANKING</v>
      </c>
    </row>
    <row r="11" spans="1:18" x14ac:dyDescent="0.35">
      <c r="A11" s="4" t="s">
        <v>52</v>
      </c>
      <c r="B11" s="6">
        <v>45662</v>
      </c>
      <c r="C11" t="s">
        <v>39</v>
      </c>
      <c r="D11" t="str">
        <f>TRIM(SalesData[[#This Row],[Customer Name]])</f>
        <v>Akash Wagh</v>
      </c>
      <c r="E11" t="s">
        <v>53</v>
      </c>
      <c r="F11" t="s">
        <v>54</v>
      </c>
      <c r="G11" t="s">
        <v>35</v>
      </c>
      <c r="H11" t="s">
        <v>36</v>
      </c>
      <c r="I11" s="10">
        <v>5</v>
      </c>
      <c r="J11" s="12">
        <v>0.05</v>
      </c>
      <c r="K11" s="8">
        <v>1144.56</v>
      </c>
      <c r="L11">
        <v>5436.66</v>
      </c>
      <c r="M11" s="8">
        <v>1793.05</v>
      </c>
      <c r="N11" s="8">
        <v>3643.61</v>
      </c>
      <c r="O11" t="s">
        <v>19</v>
      </c>
      <c r="P11" t="str">
        <f>UPPER(TRIM(SalesData[[#This Row],[Payment Mode]]))</f>
        <v>CASH</v>
      </c>
    </row>
    <row r="12" spans="1:18" x14ac:dyDescent="0.35">
      <c r="A12" s="4" t="s">
        <v>55</v>
      </c>
      <c r="B12" s="6">
        <v>45663</v>
      </c>
      <c r="C12" t="s">
        <v>56</v>
      </c>
      <c r="D12" t="str">
        <f>TRIM(SalesData[[#This Row],[Customer Name]])</f>
        <v>Pooja Shinde</v>
      </c>
      <c r="E12" t="s">
        <v>31</v>
      </c>
      <c r="F12" t="s">
        <v>23</v>
      </c>
      <c r="G12" t="s">
        <v>35</v>
      </c>
      <c r="H12" t="s">
        <v>36</v>
      </c>
      <c r="I12" s="10">
        <v>2</v>
      </c>
      <c r="J12" s="12">
        <v>0.05</v>
      </c>
      <c r="K12" s="8">
        <v>1161.6400000000001</v>
      </c>
      <c r="L12">
        <v>2207.12</v>
      </c>
      <c r="M12" s="8">
        <v>697.1</v>
      </c>
      <c r="N12" s="8">
        <v>1510.02</v>
      </c>
      <c r="O12" t="s">
        <v>19</v>
      </c>
      <c r="P12" t="str">
        <f>UPPER(TRIM(SalesData[[#This Row],[Payment Mode]]))</f>
        <v>CASH</v>
      </c>
    </row>
    <row r="13" spans="1:18" x14ac:dyDescent="0.35">
      <c r="A13" s="4" t="s">
        <v>57</v>
      </c>
      <c r="B13" s="6">
        <v>45663</v>
      </c>
      <c r="C13" t="s">
        <v>39</v>
      </c>
      <c r="D13" t="str">
        <f>TRIM(SalesData[[#This Row],[Customer Name]])</f>
        <v>Akash Wagh</v>
      </c>
      <c r="E13" t="s">
        <v>53</v>
      </c>
      <c r="F13" t="s">
        <v>54</v>
      </c>
      <c r="G13" t="s">
        <v>32</v>
      </c>
      <c r="H13" t="s">
        <v>18</v>
      </c>
      <c r="I13" s="10">
        <v>2</v>
      </c>
      <c r="J13" s="12">
        <v>0</v>
      </c>
      <c r="K13" s="8">
        <v>50096.03</v>
      </c>
      <c r="L13">
        <v>100192.06</v>
      </c>
      <c r="M13" s="8">
        <v>79914.84</v>
      </c>
      <c r="N13" s="8">
        <v>20277.22</v>
      </c>
      <c r="O13" t="s">
        <v>26</v>
      </c>
      <c r="P13" t="str">
        <f>UPPER(TRIM(SalesData[[#This Row],[Payment Mode]]))</f>
        <v>NET BANKING</v>
      </c>
    </row>
    <row r="14" spans="1:18" x14ac:dyDescent="0.35">
      <c r="A14" s="4" t="s">
        <v>58</v>
      </c>
      <c r="B14" s="6">
        <v>45663</v>
      </c>
      <c r="C14" t="s">
        <v>59</v>
      </c>
      <c r="D14" t="str">
        <f>TRIM(SalesData[[#This Row],[Customer Name]])</f>
        <v>Rohan Deshmukh</v>
      </c>
      <c r="E14" t="s">
        <v>40</v>
      </c>
      <c r="F14" t="s">
        <v>23</v>
      </c>
      <c r="G14" t="s">
        <v>60</v>
      </c>
      <c r="H14" t="s">
        <v>36</v>
      </c>
      <c r="I14" s="10">
        <v>3</v>
      </c>
      <c r="J14" s="12">
        <v>0.1</v>
      </c>
      <c r="K14" s="8">
        <v>3340.26</v>
      </c>
      <c r="L14">
        <v>9018.7000000000007</v>
      </c>
      <c r="M14" s="8">
        <v>3778.05</v>
      </c>
      <c r="N14" s="8">
        <v>5240.6499999999996</v>
      </c>
      <c r="O14" t="s">
        <v>19</v>
      </c>
      <c r="P14" t="str">
        <f>UPPER(TRIM(SalesData[[#This Row],[Payment Mode]]))</f>
        <v>CASH</v>
      </c>
    </row>
    <row r="15" spans="1:18" x14ac:dyDescent="0.35">
      <c r="A15" s="4" t="s">
        <v>61</v>
      </c>
      <c r="B15" s="6">
        <v>45664</v>
      </c>
      <c r="C15" t="s">
        <v>62</v>
      </c>
      <c r="D15" t="str">
        <f>TRIM(SalesData[[#This Row],[Customer Name]])</f>
        <v>Vivek More</v>
      </c>
      <c r="E15" t="s">
        <v>40</v>
      </c>
      <c r="F15" t="s">
        <v>23</v>
      </c>
      <c r="G15" t="s">
        <v>24</v>
      </c>
      <c r="H15" t="s">
        <v>25</v>
      </c>
      <c r="I15" s="10">
        <v>2</v>
      </c>
      <c r="J15" s="12">
        <v>0.05</v>
      </c>
      <c r="K15" s="8">
        <v>9373.94</v>
      </c>
      <c r="L15">
        <v>17810.490000000002</v>
      </c>
      <c r="M15" s="8">
        <v>8580.56</v>
      </c>
      <c r="N15" s="8">
        <v>9229.93</v>
      </c>
      <c r="O15" t="s">
        <v>37</v>
      </c>
      <c r="P15" t="str">
        <f>UPPER(TRIM(SalesData[[#This Row],[Payment Mode]]))</f>
        <v>DEBIT CARD</v>
      </c>
    </row>
    <row r="16" spans="1:18" x14ac:dyDescent="0.35">
      <c r="A16" s="4" t="s">
        <v>63</v>
      </c>
      <c r="B16" s="6">
        <v>45664</v>
      </c>
      <c r="C16" t="s">
        <v>64</v>
      </c>
      <c r="D16" t="str">
        <f>TRIM(SalesData[[#This Row],[Customer Name]])</f>
        <v>Neha Jadhav</v>
      </c>
      <c r="E16" t="s">
        <v>16</v>
      </c>
      <c r="F16" t="s">
        <v>16</v>
      </c>
      <c r="G16" t="s">
        <v>65</v>
      </c>
      <c r="H16" t="s">
        <v>18</v>
      </c>
      <c r="I16" s="10">
        <v>2</v>
      </c>
      <c r="J16" s="12">
        <v>0.05</v>
      </c>
      <c r="K16" s="8">
        <v>21661.02</v>
      </c>
      <c r="L16">
        <v>41155.94</v>
      </c>
      <c r="M16" s="8">
        <v>27482.54</v>
      </c>
      <c r="N16" s="8">
        <v>13673.4</v>
      </c>
      <c r="O16" t="s">
        <v>48</v>
      </c>
      <c r="P16" t="str">
        <f>UPPER(TRIM(SalesData[[#This Row],[Payment Mode]]))</f>
        <v>CREDIT CARD</v>
      </c>
    </row>
    <row r="17" spans="1:16" x14ac:dyDescent="0.35">
      <c r="A17" s="4" t="s">
        <v>66</v>
      </c>
      <c r="B17" s="6">
        <v>45664</v>
      </c>
      <c r="C17" t="s">
        <v>67</v>
      </c>
      <c r="D17" t="str">
        <f>TRIM(SalesData[[#This Row],[Customer Name]])</f>
        <v>Anjali Chavan</v>
      </c>
      <c r="E17" t="s">
        <v>22</v>
      </c>
      <c r="F17" t="s">
        <v>23</v>
      </c>
      <c r="G17" t="s">
        <v>60</v>
      </c>
      <c r="H17" t="s">
        <v>36</v>
      </c>
      <c r="I17" s="10">
        <v>4</v>
      </c>
      <c r="J17" s="12">
        <v>0.05</v>
      </c>
      <c r="K17" s="8">
        <v>3396.74</v>
      </c>
      <c r="L17">
        <v>12907.61</v>
      </c>
      <c r="M17" s="8">
        <v>4700.72</v>
      </c>
      <c r="N17" s="8">
        <v>8206.89</v>
      </c>
      <c r="O17" t="s">
        <v>43</v>
      </c>
      <c r="P17" t="str">
        <f>UPPER(TRIM(SalesData[[#This Row],[Payment Mode]]))</f>
        <v>UPI</v>
      </c>
    </row>
    <row r="18" spans="1:16" x14ac:dyDescent="0.35">
      <c r="A18" s="4" t="s">
        <v>68</v>
      </c>
      <c r="B18" s="6">
        <v>45665</v>
      </c>
      <c r="C18" t="s">
        <v>39</v>
      </c>
      <c r="D18" t="str">
        <f>TRIM(SalesData[[#This Row],[Customer Name]])</f>
        <v>Akash Wagh</v>
      </c>
      <c r="E18" t="s">
        <v>28</v>
      </c>
      <c r="F18" t="s">
        <v>23</v>
      </c>
      <c r="G18" t="s">
        <v>35</v>
      </c>
      <c r="H18" t="s">
        <v>36</v>
      </c>
      <c r="I18" s="10">
        <v>3</v>
      </c>
      <c r="J18" s="12">
        <v>0.1</v>
      </c>
      <c r="K18" s="8">
        <v>1147.33</v>
      </c>
      <c r="L18">
        <v>3097.79</v>
      </c>
      <c r="M18" s="8">
        <v>1026.57</v>
      </c>
      <c r="N18" s="8">
        <v>2071.2199999999998</v>
      </c>
      <c r="O18" t="s">
        <v>37</v>
      </c>
      <c r="P18" t="str">
        <f>UPPER(TRIM(SalesData[[#This Row],[Payment Mode]]))</f>
        <v>DEBIT CARD</v>
      </c>
    </row>
    <row r="19" spans="1:16" x14ac:dyDescent="0.35">
      <c r="A19" s="4" t="s">
        <v>69</v>
      </c>
      <c r="B19" s="6">
        <v>45665</v>
      </c>
      <c r="C19" t="s">
        <v>70</v>
      </c>
      <c r="D19" t="str">
        <f>TRIM(SalesData[[#This Row],[Customer Name]])</f>
        <v>Priya Patil</v>
      </c>
      <c r="E19" t="s">
        <v>40</v>
      </c>
      <c r="F19" t="s">
        <v>23</v>
      </c>
      <c r="G19" t="s">
        <v>24</v>
      </c>
      <c r="H19" t="s">
        <v>25</v>
      </c>
      <c r="I19" s="10">
        <v>5</v>
      </c>
      <c r="J19" s="12">
        <v>0</v>
      </c>
      <c r="K19" s="8">
        <v>9213.69</v>
      </c>
      <c r="L19">
        <v>46068.45</v>
      </c>
      <c r="M19" s="8">
        <v>22527.5</v>
      </c>
      <c r="N19" s="8">
        <v>23540.95</v>
      </c>
      <c r="O19" t="s">
        <v>43</v>
      </c>
      <c r="P19" t="str">
        <f>UPPER(TRIM(SalesData[[#This Row],[Payment Mode]]))</f>
        <v>UPI</v>
      </c>
    </row>
    <row r="20" spans="1:16" x14ac:dyDescent="0.35">
      <c r="A20" s="4" t="s">
        <v>71</v>
      </c>
      <c r="B20" s="6">
        <v>45667</v>
      </c>
      <c r="C20" t="s">
        <v>72</v>
      </c>
      <c r="D20" t="str">
        <f>TRIM(SalesData[[#This Row],[Customer Name]])</f>
        <v>Riya Shah</v>
      </c>
      <c r="E20" t="s">
        <v>73</v>
      </c>
      <c r="F20" t="s">
        <v>74</v>
      </c>
      <c r="G20" t="s">
        <v>75</v>
      </c>
      <c r="H20" t="s">
        <v>18</v>
      </c>
      <c r="I20" s="10">
        <v>5</v>
      </c>
      <c r="J20" s="12">
        <v>0.1</v>
      </c>
      <c r="K20" s="8">
        <v>15866.62</v>
      </c>
      <c r="L20">
        <v>71399.789999999994</v>
      </c>
      <c r="M20" s="8">
        <v>45365.25</v>
      </c>
      <c r="N20" s="8">
        <v>26034.54</v>
      </c>
      <c r="O20" t="s">
        <v>37</v>
      </c>
      <c r="P20" t="str">
        <f>UPPER(TRIM(SalesData[[#This Row],[Payment Mode]]))</f>
        <v>DEBIT CARD</v>
      </c>
    </row>
    <row r="21" spans="1:16" x14ac:dyDescent="0.35">
      <c r="A21" s="4" t="s">
        <v>76</v>
      </c>
      <c r="B21" s="6">
        <v>45668</v>
      </c>
      <c r="C21" t="s">
        <v>67</v>
      </c>
      <c r="D21" t="str">
        <f>TRIM(SalesData[[#This Row],[Customer Name]])</f>
        <v>Anjali Chavan</v>
      </c>
      <c r="E21" t="s">
        <v>22</v>
      </c>
      <c r="F21" t="s">
        <v>23</v>
      </c>
      <c r="G21" t="s">
        <v>77</v>
      </c>
      <c r="H21" t="s">
        <v>25</v>
      </c>
      <c r="I21" s="10">
        <v>2</v>
      </c>
      <c r="J21" s="12">
        <v>0.05</v>
      </c>
      <c r="K21" s="8">
        <v>7561.82</v>
      </c>
      <c r="L21">
        <v>14367.46</v>
      </c>
      <c r="M21" s="8">
        <v>7173.66</v>
      </c>
      <c r="N21" s="8">
        <v>7193.8</v>
      </c>
      <c r="O21" t="s">
        <v>43</v>
      </c>
      <c r="P21" t="str">
        <f>UPPER(TRIM(SalesData[[#This Row],[Payment Mode]]))</f>
        <v>UPI</v>
      </c>
    </row>
    <row r="22" spans="1:16" x14ac:dyDescent="0.35">
      <c r="A22" s="4" t="s">
        <v>78</v>
      </c>
      <c r="B22" s="6">
        <v>45670</v>
      </c>
      <c r="C22" t="s">
        <v>45</v>
      </c>
      <c r="D22" t="str">
        <f>TRIM(SalesData[[#This Row],[Customer Name]])</f>
        <v>Nikhil Gupta</v>
      </c>
      <c r="E22" t="s">
        <v>22</v>
      </c>
      <c r="F22" t="s">
        <v>23</v>
      </c>
      <c r="G22" t="s">
        <v>77</v>
      </c>
      <c r="H22" t="s">
        <v>25</v>
      </c>
      <c r="I22" s="10">
        <v>1</v>
      </c>
      <c r="J22" s="12">
        <v>0.05</v>
      </c>
      <c r="K22" s="8">
        <v>7720.89</v>
      </c>
      <c r="L22">
        <v>7334.85</v>
      </c>
      <c r="M22" s="8">
        <v>3572.48</v>
      </c>
      <c r="N22" s="8">
        <v>3762.37</v>
      </c>
      <c r="O22" t="s">
        <v>19</v>
      </c>
      <c r="P22" t="str">
        <f>UPPER(TRIM(SalesData[[#This Row],[Payment Mode]]))</f>
        <v>CASH</v>
      </c>
    </row>
    <row r="23" spans="1:16" x14ac:dyDescent="0.35">
      <c r="A23" s="4" t="s">
        <v>79</v>
      </c>
      <c r="B23" s="6">
        <v>45670</v>
      </c>
      <c r="C23" t="s">
        <v>80</v>
      </c>
      <c r="D23" t="str">
        <f>TRIM(SalesData[[#This Row],[Customer Name]])</f>
        <v>Sagar Mane</v>
      </c>
      <c r="E23" t="s">
        <v>46</v>
      </c>
      <c r="F23" t="s">
        <v>23</v>
      </c>
      <c r="G23" t="s">
        <v>41</v>
      </c>
      <c r="H23" t="s">
        <v>42</v>
      </c>
      <c r="I23" s="10">
        <v>1</v>
      </c>
      <c r="J23" s="12">
        <v>0</v>
      </c>
      <c r="K23" s="8">
        <v>1803.61</v>
      </c>
      <c r="L23">
        <v>1803.61</v>
      </c>
      <c r="M23" s="8">
        <v>701.54</v>
      </c>
      <c r="N23" s="8">
        <v>1102.07</v>
      </c>
      <c r="O23" t="s">
        <v>48</v>
      </c>
      <c r="P23" t="str">
        <f>UPPER(TRIM(SalesData[[#This Row],[Payment Mode]]))</f>
        <v>CREDIT CARD</v>
      </c>
    </row>
    <row r="24" spans="1:16" x14ac:dyDescent="0.35">
      <c r="A24" s="4" t="s">
        <v>81</v>
      </c>
      <c r="B24" s="6">
        <v>45670</v>
      </c>
      <c r="C24" t="s">
        <v>72</v>
      </c>
      <c r="D24" t="str">
        <f>TRIM(SalesData[[#This Row],[Customer Name]])</f>
        <v>Riya Shah</v>
      </c>
      <c r="E24" t="s">
        <v>73</v>
      </c>
      <c r="F24" t="s">
        <v>74</v>
      </c>
      <c r="G24" t="s">
        <v>41</v>
      </c>
      <c r="H24" t="s">
        <v>42</v>
      </c>
      <c r="I24" s="10">
        <v>3</v>
      </c>
      <c r="J24" s="12">
        <v>0.05</v>
      </c>
      <c r="K24" s="8">
        <v>1747.6</v>
      </c>
      <c r="L24">
        <v>4980.66</v>
      </c>
      <c r="M24" s="8">
        <v>2072.4299999999998</v>
      </c>
      <c r="N24" s="8">
        <v>2908.23</v>
      </c>
      <c r="O24" t="s">
        <v>26</v>
      </c>
      <c r="P24" t="str">
        <f>UPPER(TRIM(SalesData[[#This Row],[Payment Mode]]))</f>
        <v>NET BANKING</v>
      </c>
    </row>
    <row r="25" spans="1:16" x14ac:dyDescent="0.35">
      <c r="A25" s="4" t="s">
        <v>82</v>
      </c>
      <c r="B25" s="6">
        <v>45671</v>
      </c>
      <c r="C25" t="s">
        <v>62</v>
      </c>
      <c r="D25" t="str">
        <f>TRIM(SalesData[[#This Row],[Customer Name]])</f>
        <v>Vivek More</v>
      </c>
      <c r="E25" t="s">
        <v>83</v>
      </c>
      <c r="F25" t="s">
        <v>23</v>
      </c>
      <c r="G25" t="s">
        <v>75</v>
      </c>
      <c r="H25" t="s">
        <v>18</v>
      </c>
      <c r="I25" s="10">
        <v>2</v>
      </c>
      <c r="J25" s="12">
        <v>0.1</v>
      </c>
      <c r="K25" s="8">
        <v>16489.48</v>
      </c>
      <c r="L25">
        <v>29681.06</v>
      </c>
      <c r="M25" s="8">
        <v>18522.060000000001</v>
      </c>
      <c r="N25" s="8">
        <v>11159</v>
      </c>
      <c r="O25" t="s">
        <v>26</v>
      </c>
      <c r="P25" t="str">
        <f>UPPER(TRIM(SalesData[[#This Row],[Payment Mode]]))</f>
        <v>NET BANKING</v>
      </c>
    </row>
    <row r="26" spans="1:16" x14ac:dyDescent="0.35">
      <c r="A26" s="4" t="s">
        <v>84</v>
      </c>
      <c r="B26" s="6">
        <v>45671</v>
      </c>
      <c r="C26" t="s">
        <v>85</v>
      </c>
      <c r="D26" t="str">
        <f>TRIM(SalesData[[#This Row],[Customer Name]])</f>
        <v>Amit Verma</v>
      </c>
      <c r="E26" t="s">
        <v>86</v>
      </c>
      <c r="F26" t="s">
        <v>87</v>
      </c>
      <c r="G26" t="s">
        <v>35</v>
      </c>
      <c r="H26" t="s">
        <v>36</v>
      </c>
      <c r="I26" s="10">
        <v>2</v>
      </c>
      <c r="J26" s="12">
        <v>0.1</v>
      </c>
      <c r="K26" s="8">
        <v>1197.71</v>
      </c>
      <c r="L26">
        <v>2155.88</v>
      </c>
      <c r="M26" s="8">
        <v>667.86</v>
      </c>
      <c r="N26" s="8">
        <v>1488.02</v>
      </c>
      <c r="O26" t="s">
        <v>48</v>
      </c>
      <c r="P26" t="str">
        <f>UPPER(TRIM(SalesData[[#This Row],[Payment Mode]]))</f>
        <v>CREDIT CARD</v>
      </c>
    </row>
    <row r="27" spans="1:16" x14ac:dyDescent="0.35">
      <c r="A27" s="4" t="s">
        <v>88</v>
      </c>
      <c r="B27" s="6">
        <v>45671</v>
      </c>
      <c r="C27" t="s">
        <v>89</v>
      </c>
      <c r="D27" t="str">
        <f>TRIM(SalesData[[#This Row],[Customer Name]])</f>
        <v>Kunal Thakur</v>
      </c>
      <c r="E27" t="s">
        <v>86</v>
      </c>
      <c r="F27" t="s">
        <v>87</v>
      </c>
      <c r="G27" t="s">
        <v>60</v>
      </c>
      <c r="H27" t="s">
        <v>36</v>
      </c>
      <c r="I27" s="10">
        <v>2</v>
      </c>
      <c r="J27" s="12">
        <v>0.1</v>
      </c>
      <c r="K27" s="8">
        <v>3510.94</v>
      </c>
      <c r="L27">
        <v>6319.69</v>
      </c>
      <c r="M27" s="8">
        <v>2452.92</v>
      </c>
      <c r="N27" s="8">
        <v>3866.77</v>
      </c>
      <c r="O27" t="s">
        <v>37</v>
      </c>
      <c r="P27" t="str">
        <f>UPPER(TRIM(SalesData[[#This Row],[Payment Mode]]))</f>
        <v>DEBIT CARD</v>
      </c>
    </row>
    <row r="28" spans="1:16" x14ac:dyDescent="0.35">
      <c r="A28" s="4" t="s">
        <v>90</v>
      </c>
      <c r="B28" s="6">
        <v>45671</v>
      </c>
      <c r="C28" t="s">
        <v>50</v>
      </c>
      <c r="D28" t="str">
        <f>TRIM(SalesData[[#This Row],[Customer Name]])</f>
        <v>Priya Patil</v>
      </c>
      <c r="E28" t="s">
        <v>28</v>
      </c>
      <c r="F28" t="s">
        <v>23</v>
      </c>
      <c r="G28" t="s">
        <v>41</v>
      </c>
      <c r="H28" t="s">
        <v>42</v>
      </c>
      <c r="I28" s="10">
        <v>4</v>
      </c>
      <c r="J28" s="12">
        <v>0.05</v>
      </c>
      <c r="K28" s="8">
        <v>1862.65</v>
      </c>
      <c r="L28">
        <v>7078.07</v>
      </c>
      <c r="M28" s="8">
        <v>2895.2</v>
      </c>
      <c r="N28" s="8">
        <v>4182.87</v>
      </c>
      <c r="O28" t="s">
        <v>26</v>
      </c>
      <c r="P28" t="str">
        <f>UPPER(TRIM(SalesData[[#This Row],[Payment Mode]]))</f>
        <v>NET BANKING</v>
      </c>
    </row>
    <row r="29" spans="1:16" x14ac:dyDescent="0.35">
      <c r="A29" s="4" t="s">
        <v>91</v>
      </c>
      <c r="B29" s="6">
        <v>45672</v>
      </c>
      <c r="C29" t="s">
        <v>45</v>
      </c>
      <c r="D29" t="str">
        <f>TRIM(SalesData[[#This Row],[Customer Name]])</f>
        <v>Nikhil Gupta</v>
      </c>
      <c r="E29" t="s">
        <v>86</v>
      </c>
      <c r="F29" t="s">
        <v>87</v>
      </c>
      <c r="G29" t="s">
        <v>24</v>
      </c>
      <c r="H29" t="s">
        <v>25</v>
      </c>
      <c r="I29" s="10">
        <v>3</v>
      </c>
      <c r="J29" s="12">
        <v>0</v>
      </c>
      <c r="K29" s="8">
        <v>8849.5300000000007</v>
      </c>
      <c r="L29">
        <v>26548.59</v>
      </c>
      <c r="M29" s="8">
        <v>13811.25</v>
      </c>
      <c r="N29" s="8">
        <v>12737.34</v>
      </c>
      <c r="O29" t="s">
        <v>26</v>
      </c>
      <c r="P29" t="str">
        <f>UPPER(TRIM(SalesData[[#This Row],[Payment Mode]]))</f>
        <v>NET BANKING</v>
      </c>
    </row>
    <row r="30" spans="1:16" x14ac:dyDescent="0.35">
      <c r="A30" s="4" t="s">
        <v>92</v>
      </c>
      <c r="B30" s="6">
        <v>45672</v>
      </c>
      <c r="C30" t="s">
        <v>93</v>
      </c>
      <c r="D30" t="str">
        <f>TRIM(SalesData[[#This Row],[Customer Name]])</f>
        <v>Aditya Joshi</v>
      </c>
      <c r="E30" t="s">
        <v>31</v>
      </c>
      <c r="F30" t="s">
        <v>23</v>
      </c>
      <c r="G30" t="s">
        <v>24</v>
      </c>
      <c r="H30" t="s">
        <v>25</v>
      </c>
      <c r="I30" s="10">
        <v>3</v>
      </c>
      <c r="J30" s="12">
        <v>0.05</v>
      </c>
      <c r="K30" s="8">
        <v>8646.4500000000007</v>
      </c>
      <c r="L30">
        <v>24642.38</v>
      </c>
      <c r="M30" s="8">
        <v>13429.02</v>
      </c>
      <c r="N30" s="8">
        <v>11213.36</v>
      </c>
      <c r="O30" t="s">
        <v>19</v>
      </c>
      <c r="P30" t="str">
        <f>UPPER(TRIM(SalesData[[#This Row],[Payment Mode]]))</f>
        <v>CASH</v>
      </c>
    </row>
    <row r="31" spans="1:16" x14ac:dyDescent="0.35">
      <c r="A31" s="4" t="s">
        <v>94</v>
      </c>
      <c r="B31" s="6">
        <v>45674</v>
      </c>
      <c r="C31" t="s">
        <v>95</v>
      </c>
      <c r="D31" t="str">
        <f>TRIM(SalesData[[#This Row],[Customer Name]])</f>
        <v>Rahul Pawar</v>
      </c>
      <c r="E31" t="s">
        <v>86</v>
      </c>
      <c r="F31" t="s">
        <v>87</v>
      </c>
      <c r="G31" t="s">
        <v>32</v>
      </c>
      <c r="H31" t="s">
        <v>18</v>
      </c>
      <c r="I31" s="10">
        <v>5</v>
      </c>
      <c r="J31" s="12">
        <v>0</v>
      </c>
      <c r="K31" s="8">
        <v>51153.47</v>
      </c>
      <c r="L31">
        <v>255767.35</v>
      </c>
      <c r="M31" s="8">
        <v>202499.7</v>
      </c>
      <c r="N31" s="8">
        <v>53267.65</v>
      </c>
      <c r="O31" t="s">
        <v>26</v>
      </c>
      <c r="P31" t="str">
        <f>UPPER(TRIM(SalesData[[#This Row],[Payment Mode]]))</f>
        <v>NET BANKING</v>
      </c>
    </row>
    <row r="32" spans="1:16" x14ac:dyDescent="0.35">
      <c r="A32" s="4" t="s">
        <v>96</v>
      </c>
      <c r="B32" s="6">
        <v>45674</v>
      </c>
      <c r="C32" t="s">
        <v>50</v>
      </c>
      <c r="D32" t="str">
        <f>TRIM(SalesData[[#This Row],[Customer Name]])</f>
        <v>Priya Patil</v>
      </c>
      <c r="E32" t="s">
        <v>86</v>
      </c>
      <c r="F32" t="s">
        <v>87</v>
      </c>
      <c r="G32" t="s">
        <v>77</v>
      </c>
      <c r="H32" t="s">
        <v>25</v>
      </c>
      <c r="I32" s="10">
        <v>2</v>
      </c>
      <c r="J32" s="12">
        <v>0.1</v>
      </c>
      <c r="K32" s="8">
        <v>7811.05</v>
      </c>
      <c r="L32">
        <v>14059.89</v>
      </c>
      <c r="M32" s="8">
        <v>6658.04</v>
      </c>
      <c r="N32" s="8">
        <v>7401.85</v>
      </c>
      <c r="O32" t="s">
        <v>48</v>
      </c>
      <c r="P32" t="str">
        <f>UPPER(TRIM(SalesData[[#This Row],[Payment Mode]]))</f>
        <v>CREDIT CARD</v>
      </c>
    </row>
    <row r="33" spans="1:16" x14ac:dyDescent="0.35">
      <c r="A33" s="4" t="s">
        <v>97</v>
      </c>
      <c r="B33" s="6">
        <v>45674</v>
      </c>
      <c r="C33" t="s">
        <v>85</v>
      </c>
      <c r="D33" t="str">
        <f>TRIM(SalesData[[#This Row],[Customer Name]])</f>
        <v>Amit Verma</v>
      </c>
      <c r="E33" t="s">
        <v>16</v>
      </c>
      <c r="F33" t="s">
        <v>16</v>
      </c>
      <c r="G33" t="s">
        <v>17</v>
      </c>
      <c r="H33" t="s">
        <v>18</v>
      </c>
      <c r="I33" s="10">
        <v>3</v>
      </c>
      <c r="J33" s="12">
        <v>0.1</v>
      </c>
      <c r="K33" s="8">
        <v>11958.84</v>
      </c>
      <c r="L33">
        <v>32288.87</v>
      </c>
      <c r="M33" s="8">
        <v>19462.62</v>
      </c>
      <c r="N33" s="8">
        <v>12826.25</v>
      </c>
      <c r="O33" t="s">
        <v>37</v>
      </c>
      <c r="P33" t="str">
        <f>UPPER(TRIM(SalesData[[#This Row],[Payment Mode]]))</f>
        <v>DEBIT CARD</v>
      </c>
    </row>
    <row r="34" spans="1:16" x14ac:dyDescent="0.35">
      <c r="A34" s="4" t="s">
        <v>98</v>
      </c>
      <c r="B34" s="6">
        <v>45674</v>
      </c>
      <c r="C34" t="s">
        <v>93</v>
      </c>
      <c r="D34" t="str">
        <f>TRIM(SalesData[[#This Row],[Customer Name]])</f>
        <v>Aditya Joshi</v>
      </c>
      <c r="E34" t="s">
        <v>22</v>
      </c>
      <c r="F34" t="s">
        <v>23</v>
      </c>
      <c r="G34" t="s">
        <v>35</v>
      </c>
      <c r="H34" t="s">
        <v>36</v>
      </c>
      <c r="I34" s="10">
        <v>2</v>
      </c>
      <c r="J34" s="12">
        <v>0.05</v>
      </c>
      <c r="K34" s="8">
        <v>1237.81</v>
      </c>
      <c r="L34">
        <v>2351.84</v>
      </c>
      <c r="M34" s="8">
        <v>699.86</v>
      </c>
      <c r="N34" s="8">
        <v>1651.98</v>
      </c>
      <c r="O34" t="s">
        <v>43</v>
      </c>
      <c r="P34" t="str">
        <f>UPPER(TRIM(SalesData[[#This Row],[Payment Mode]]))</f>
        <v>UPI</v>
      </c>
    </row>
    <row r="35" spans="1:16" x14ac:dyDescent="0.35">
      <c r="A35" s="4" t="s">
        <v>99</v>
      </c>
      <c r="B35" s="6">
        <v>45676</v>
      </c>
      <c r="C35" t="s">
        <v>59</v>
      </c>
      <c r="D35" t="str">
        <f>TRIM(SalesData[[#This Row],[Customer Name]])</f>
        <v>Rohan Deshmukh</v>
      </c>
      <c r="E35" t="s">
        <v>28</v>
      </c>
      <c r="F35" t="s">
        <v>23</v>
      </c>
      <c r="G35" t="s">
        <v>35</v>
      </c>
      <c r="H35" t="s">
        <v>36</v>
      </c>
      <c r="I35" s="10">
        <v>4</v>
      </c>
      <c r="J35" s="12">
        <v>0.05</v>
      </c>
      <c r="K35" s="8">
        <v>1258.3499999999999</v>
      </c>
      <c r="L35">
        <v>4781.7299999999996</v>
      </c>
      <c r="M35" s="8">
        <v>1388.08</v>
      </c>
      <c r="N35" s="8">
        <v>3393.65</v>
      </c>
      <c r="O35" t="s">
        <v>48</v>
      </c>
      <c r="P35" t="str">
        <f>UPPER(TRIM(SalesData[[#This Row],[Payment Mode]]))</f>
        <v>CREDIT CARD</v>
      </c>
    </row>
    <row r="36" spans="1:16" x14ac:dyDescent="0.35">
      <c r="A36" s="4" t="s">
        <v>100</v>
      </c>
      <c r="B36" s="6">
        <v>45679</v>
      </c>
      <c r="C36" t="s">
        <v>85</v>
      </c>
      <c r="D36" t="str">
        <f>TRIM(SalesData[[#This Row],[Customer Name]])</f>
        <v>Amit Verma</v>
      </c>
      <c r="E36" t="s">
        <v>22</v>
      </c>
      <c r="F36" t="s">
        <v>23</v>
      </c>
      <c r="G36" t="s">
        <v>101</v>
      </c>
      <c r="H36" t="s">
        <v>18</v>
      </c>
      <c r="I36" s="10">
        <v>5</v>
      </c>
      <c r="J36" s="12">
        <v>0.05</v>
      </c>
      <c r="K36" s="8">
        <v>18227.87</v>
      </c>
      <c r="L36">
        <v>86582.38</v>
      </c>
      <c r="M36" s="8">
        <v>41705.550000000003</v>
      </c>
      <c r="N36" s="8">
        <v>44876.83</v>
      </c>
      <c r="O36" t="s">
        <v>37</v>
      </c>
      <c r="P36" t="str">
        <f>UPPER(TRIM(SalesData[[#This Row],[Payment Mode]]))</f>
        <v>DEBIT CARD</v>
      </c>
    </row>
    <row r="37" spans="1:16" x14ac:dyDescent="0.35">
      <c r="A37" s="4" t="s">
        <v>102</v>
      </c>
      <c r="B37" s="6">
        <v>45679</v>
      </c>
      <c r="C37" t="s">
        <v>85</v>
      </c>
      <c r="D37" t="str">
        <f>TRIM(SalesData[[#This Row],[Customer Name]])</f>
        <v>Amit Verma</v>
      </c>
      <c r="E37" t="s">
        <v>83</v>
      </c>
      <c r="F37" t="s">
        <v>23</v>
      </c>
      <c r="G37" t="s">
        <v>24</v>
      </c>
      <c r="H37" t="s">
        <v>25</v>
      </c>
      <c r="I37" s="10">
        <v>5</v>
      </c>
      <c r="J37" s="12">
        <v>0.05</v>
      </c>
      <c r="K37" s="8">
        <v>8748.69</v>
      </c>
      <c r="L37">
        <v>41556.28</v>
      </c>
      <c r="M37" s="8">
        <v>21560.35</v>
      </c>
      <c r="N37" s="8">
        <v>19995.93</v>
      </c>
      <c r="O37" t="s">
        <v>37</v>
      </c>
      <c r="P37" t="str">
        <f>UPPER(TRIM(SalesData[[#This Row],[Payment Mode]]))</f>
        <v>DEBIT CARD</v>
      </c>
    </row>
    <row r="38" spans="1:16" x14ac:dyDescent="0.35">
      <c r="A38" s="4" t="s">
        <v>103</v>
      </c>
      <c r="B38" s="6">
        <v>45679</v>
      </c>
      <c r="C38" t="s">
        <v>89</v>
      </c>
      <c r="D38" t="str">
        <f>TRIM(SalesData[[#This Row],[Customer Name]])</f>
        <v>Kunal Thakur</v>
      </c>
      <c r="E38" t="s">
        <v>22</v>
      </c>
      <c r="F38" t="s">
        <v>23</v>
      </c>
      <c r="G38" t="s">
        <v>101</v>
      </c>
      <c r="H38" t="s">
        <v>18</v>
      </c>
      <c r="I38" s="10">
        <v>2</v>
      </c>
      <c r="J38" s="12">
        <v>0.1</v>
      </c>
      <c r="K38" s="8">
        <v>18318.87</v>
      </c>
      <c r="L38">
        <v>32973.97</v>
      </c>
      <c r="M38" s="8">
        <v>16200.04</v>
      </c>
      <c r="N38" s="8">
        <v>16773.93</v>
      </c>
      <c r="O38" t="s">
        <v>43</v>
      </c>
      <c r="P38" t="str">
        <f>UPPER(TRIM(SalesData[[#This Row],[Payment Mode]]))</f>
        <v>UPI</v>
      </c>
    </row>
    <row r="39" spans="1:16" x14ac:dyDescent="0.35">
      <c r="A39" s="4" t="s">
        <v>104</v>
      </c>
      <c r="B39" s="6">
        <v>45679</v>
      </c>
      <c r="C39" t="s">
        <v>64</v>
      </c>
      <c r="D39" t="str">
        <f>TRIM(SalesData[[#This Row],[Customer Name]])</f>
        <v>Neha Jadhav</v>
      </c>
      <c r="E39" t="s">
        <v>105</v>
      </c>
      <c r="F39" t="s">
        <v>106</v>
      </c>
      <c r="G39" t="s">
        <v>107</v>
      </c>
      <c r="H39" t="s">
        <v>36</v>
      </c>
      <c r="I39" s="10">
        <v>1</v>
      </c>
      <c r="J39" s="12">
        <v>0.1</v>
      </c>
      <c r="K39" s="8">
        <v>1872.32</v>
      </c>
      <c r="L39">
        <v>1685.09</v>
      </c>
      <c r="M39" s="8">
        <v>582.21</v>
      </c>
      <c r="N39" s="8">
        <v>1102.8800000000001</v>
      </c>
      <c r="O39" t="s">
        <v>19</v>
      </c>
      <c r="P39" t="str">
        <f>UPPER(TRIM(SalesData[[#This Row],[Payment Mode]]))</f>
        <v>CASH</v>
      </c>
    </row>
    <row r="40" spans="1:16" x14ac:dyDescent="0.35">
      <c r="A40" s="4" t="s">
        <v>108</v>
      </c>
      <c r="B40" s="6">
        <v>45680</v>
      </c>
      <c r="C40" t="s">
        <v>45</v>
      </c>
      <c r="D40" t="str">
        <f>TRIM(SalesData[[#This Row],[Customer Name]])</f>
        <v>Nikhil Gupta</v>
      </c>
      <c r="E40" t="s">
        <v>105</v>
      </c>
      <c r="F40" t="s">
        <v>106</v>
      </c>
      <c r="G40" t="s">
        <v>107</v>
      </c>
      <c r="H40" t="s">
        <v>36</v>
      </c>
      <c r="I40" s="10">
        <v>4</v>
      </c>
      <c r="J40" s="12">
        <v>0</v>
      </c>
      <c r="K40" s="8">
        <v>1873.52</v>
      </c>
      <c r="L40">
        <v>7494.08</v>
      </c>
      <c r="M40" s="8">
        <v>2420</v>
      </c>
      <c r="N40" s="8">
        <v>5074.08</v>
      </c>
      <c r="O40" t="s">
        <v>48</v>
      </c>
      <c r="P40" t="str">
        <f>UPPER(TRIM(SalesData[[#This Row],[Payment Mode]]))</f>
        <v>CREDIT CARD</v>
      </c>
    </row>
    <row r="41" spans="1:16" x14ac:dyDescent="0.35">
      <c r="A41" s="4" t="s">
        <v>109</v>
      </c>
      <c r="B41" s="6">
        <v>45681</v>
      </c>
      <c r="C41" t="s">
        <v>67</v>
      </c>
      <c r="D41" t="str">
        <f>TRIM(SalesData[[#This Row],[Customer Name]])</f>
        <v>Anjali Chavan</v>
      </c>
      <c r="E41" t="s">
        <v>83</v>
      </c>
      <c r="F41" t="s">
        <v>23</v>
      </c>
      <c r="G41" t="s">
        <v>107</v>
      </c>
      <c r="H41" t="s">
        <v>36</v>
      </c>
      <c r="I41" s="10">
        <v>1</v>
      </c>
      <c r="J41" s="12">
        <v>0</v>
      </c>
      <c r="K41" s="8">
        <v>1855.96</v>
      </c>
      <c r="L41">
        <v>1855.96</v>
      </c>
      <c r="M41" s="8">
        <v>620.15</v>
      </c>
      <c r="N41" s="8">
        <v>1235.81</v>
      </c>
      <c r="O41" t="s">
        <v>19</v>
      </c>
      <c r="P41" t="str">
        <f>UPPER(TRIM(SalesData[[#This Row],[Payment Mode]]))</f>
        <v>CASH</v>
      </c>
    </row>
    <row r="42" spans="1:16" x14ac:dyDescent="0.35">
      <c r="A42" s="4" t="s">
        <v>110</v>
      </c>
      <c r="B42" s="6">
        <v>45681</v>
      </c>
      <c r="C42" t="s">
        <v>85</v>
      </c>
      <c r="D42" t="str">
        <f>TRIM(SalesData[[#This Row],[Customer Name]])</f>
        <v>Amit Verma</v>
      </c>
      <c r="E42" t="s">
        <v>83</v>
      </c>
      <c r="F42" t="s">
        <v>23</v>
      </c>
      <c r="G42" t="s">
        <v>75</v>
      </c>
      <c r="H42" t="s">
        <v>18</v>
      </c>
      <c r="I42" s="10">
        <v>1</v>
      </c>
      <c r="J42" s="12">
        <v>0.05</v>
      </c>
      <c r="K42" s="8">
        <v>15728.39</v>
      </c>
      <c r="L42">
        <v>14941.97</v>
      </c>
      <c r="M42" s="8">
        <v>9365.4599999999991</v>
      </c>
      <c r="N42" s="8">
        <v>5576.51</v>
      </c>
      <c r="O42" t="s">
        <v>43</v>
      </c>
      <c r="P42" t="str">
        <f>UPPER(TRIM(SalesData[[#This Row],[Payment Mode]]))</f>
        <v>UPI</v>
      </c>
    </row>
    <row r="43" spans="1:16" x14ac:dyDescent="0.35">
      <c r="A43" s="4" t="s">
        <v>111</v>
      </c>
      <c r="B43" s="6">
        <v>45682</v>
      </c>
      <c r="C43" t="s">
        <v>45</v>
      </c>
      <c r="D43" t="str">
        <f>TRIM(SalesData[[#This Row],[Customer Name]])</f>
        <v>Nikhil Gupta</v>
      </c>
      <c r="E43" t="s">
        <v>22</v>
      </c>
      <c r="F43" t="s">
        <v>23</v>
      </c>
      <c r="G43" t="s">
        <v>60</v>
      </c>
      <c r="H43" t="s">
        <v>36</v>
      </c>
      <c r="I43" s="10">
        <v>3</v>
      </c>
      <c r="J43" s="12">
        <v>0.15</v>
      </c>
      <c r="K43" s="8">
        <v>3613.82</v>
      </c>
      <c r="L43">
        <v>9215.24</v>
      </c>
      <c r="M43" s="8">
        <v>3659.88</v>
      </c>
      <c r="N43" s="8">
        <v>5555.36</v>
      </c>
      <c r="O43" t="s">
        <v>19</v>
      </c>
      <c r="P43" t="str">
        <f>UPPER(TRIM(SalesData[[#This Row],[Payment Mode]]))</f>
        <v>CASH</v>
      </c>
    </row>
    <row r="44" spans="1:16" x14ac:dyDescent="0.35">
      <c r="A44" s="4" t="s">
        <v>112</v>
      </c>
      <c r="B44" s="6">
        <v>45684</v>
      </c>
      <c r="C44" t="s">
        <v>56</v>
      </c>
      <c r="D44" t="str">
        <f>TRIM(SalesData[[#This Row],[Customer Name]])</f>
        <v>Pooja Shinde</v>
      </c>
      <c r="E44" t="s">
        <v>40</v>
      </c>
      <c r="F44" t="s">
        <v>23</v>
      </c>
      <c r="G44" t="s">
        <v>101</v>
      </c>
      <c r="H44" t="s">
        <v>18</v>
      </c>
      <c r="I44" s="10">
        <v>1</v>
      </c>
      <c r="J44" s="12">
        <v>0.05</v>
      </c>
      <c r="K44" s="8">
        <v>17896.34</v>
      </c>
      <c r="L44">
        <v>17001.52</v>
      </c>
      <c r="M44" s="8">
        <v>8265.49</v>
      </c>
      <c r="N44" s="8">
        <v>8736.0300000000007</v>
      </c>
      <c r="O44" t="s">
        <v>48</v>
      </c>
      <c r="P44" t="str">
        <f>UPPER(TRIM(SalesData[[#This Row],[Payment Mode]]))</f>
        <v>CREDIT CARD</v>
      </c>
    </row>
    <row r="45" spans="1:16" x14ac:dyDescent="0.35">
      <c r="A45" s="4" t="s">
        <v>113</v>
      </c>
      <c r="B45" s="6">
        <v>45685</v>
      </c>
      <c r="C45" t="s">
        <v>93</v>
      </c>
      <c r="D45" t="str">
        <f>TRIM(SalesData[[#This Row],[Customer Name]])</f>
        <v>Aditya Joshi</v>
      </c>
      <c r="E45" t="s">
        <v>22</v>
      </c>
      <c r="F45" t="s">
        <v>23</v>
      </c>
      <c r="G45" t="s">
        <v>107</v>
      </c>
      <c r="H45" t="s">
        <v>36</v>
      </c>
      <c r="I45" s="10">
        <v>2</v>
      </c>
      <c r="J45" s="12">
        <v>0</v>
      </c>
      <c r="K45" s="8">
        <v>1793.47</v>
      </c>
      <c r="L45">
        <v>3586.94</v>
      </c>
      <c r="M45" s="8">
        <v>1182.4000000000001</v>
      </c>
      <c r="N45" s="8">
        <v>2404.54</v>
      </c>
      <c r="O45" t="s">
        <v>43</v>
      </c>
      <c r="P45" t="str">
        <f>UPPER(TRIM(SalesData[[#This Row],[Payment Mode]]))</f>
        <v>UPI</v>
      </c>
    </row>
    <row r="46" spans="1:16" x14ac:dyDescent="0.35">
      <c r="A46" s="4" t="s">
        <v>114</v>
      </c>
      <c r="B46" s="6">
        <v>45685</v>
      </c>
      <c r="C46" t="s">
        <v>89</v>
      </c>
      <c r="D46" t="str">
        <f>TRIM(SalesData[[#This Row],[Customer Name]])</f>
        <v>Kunal Thakur</v>
      </c>
      <c r="E46" t="s">
        <v>31</v>
      </c>
      <c r="F46" t="s">
        <v>23</v>
      </c>
      <c r="G46" t="s">
        <v>77</v>
      </c>
      <c r="H46" t="s">
        <v>25</v>
      </c>
      <c r="I46" s="10">
        <v>2</v>
      </c>
      <c r="J46" s="12">
        <v>0.05</v>
      </c>
      <c r="K46" s="8">
        <v>7868.69</v>
      </c>
      <c r="L46">
        <v>14950.51</v>
      </c>
      <c r="M46" s="8">
        <v>7329.52</v>
      </c>
      <c r="N46" s="8">
        <v>7620.99</v>
      </c>
      <c r="O46" t="s">
        <v>37</v>
      </c>
      <c r="P46" t="str">
        <f>UPPER(TRIM(SalesData[[#This Row],[Payment Mode]]))</f>
        <v>DEBIT CARD</v>
      </c>
    </row>
    <row r="47" spans="1:16" x14ac:dyDescent="0.35">
      <c r="A47" s="4" t="s">
        <v>115</v>
      </c>
      <c r="B47" s="6">
        <v>45686</v>
      </c>
      <c r="C47" t="s">
        <v>116</v>
      </c>
      <c r="D47" t="str">
        <f>TRIM(SalesData[[#This Row],[Customer Name]])</f>
        <v>Sneha Kulkarni</v>
      </c>
      <c r="E47" t="s">
        <v>16</v>
      </c>
      <c r="F47" t="s">
        <v>16</v>
      </c>
      <c r="G47" t="s">
        <v>60</v>
      </c>
      <c r="H47" t="s">
        <v>36</v>
      </c>
      <c r="I47" s="10">
        <v>5</v>
      </c>
      <c r="J47" s="12">
        <v>0.05</v>
      </c>
      <c r="K47" s="8">
        <v>3642.65</v>
      </c>
      <c r="L47">
        <v>17302.59</v>
      </c>
      <c r="M47" s="8">
        <v>5849.6</v>
      </c>
      <c r="N47" s="8">
        <v>11452.99</v>
      </c>
      <c r="O47" t="s">
        <v>26</v>
      </c>
      <c r="P47" t="str">
        <f>UPPER(TRIM(SalesData[[#This Row],[Payment Mode]]))</f>
        <v>NET BANKING</v>
      </c>
    </row>
    <row r="48" spans="1:16" x14ac:dyDescent="0.35">
      <c r="A48" s="4" t="s">
        <v>117</v>
      </c>
      <c r="B48" s="6">
        <v>45686</v>
      </c>
      <c r="C48" t="s">
        <v>45</v>
      </c>
      <c r="D48" t="str">
        <f>TRIM(SalesData[[#This Row],[Customer Name]])</f>
        <v>Nikhil Gupta</v>
      </c>
      <c r="E48" t="s">
        <v>22</v>
      </c>
      <c r="F48" t="s">
        <v>23</v>
      </c>
      <c r="G48" t="s">
        <v>101</v>
      </c>
      <c r="H48" t="s">
        <v>18</v>
      </c>
      <c r="I48" s="10">
        <v>3</v>
      </c>
      <c r="J48" s="12">
        <v>0</v>
      </c>
      <c r="K48" s="8">
        <v>18071.2</v>
      </c>
      <c r="L48">
        <v>54213.599999999999</v>
      </c>
      <c r="M48" s="8">
        <v>24547.08</v>
      </c>
      <c r="N48" s="8">
        <v>29666.52</v>
      </c>
      <c r="O48" t="s">
        <v>19</v>
      </c>
      <c r="P48" t="str">
        <f>UPPER(TRIM(SalesData[[#This Row],[Payment Mode]]))</f>
        <v>CASH</v>
      </c>
    </row>
    <row r="49" spans="1:16" x14ac:dyDescent="0.35">
      <c r="A49" s="4" t="s">
        <v>118</v>
      </c>
      <c r="B49" s="6">
        <v>45687</v>
      </c>
      <c r="C49" t="s">
        <v>116</v>
      </c>
      <c r="D49" t="str">
        <f>TRIM(SalesData[[#This Row],[Customer Name]])</f>
        <v>Sneha Kulkarni</v>
      </c>
      <c r="E49" t="s">
        <v>46</v>
      </c>
      <c r="F49" t="s">
        <v>23</v>
      </c>
      <c r="G49" t="s">
        <v>65</v>
      </c>
      <c r="H49" t="s">
        <v>18</v>
      </c>
      <c r="I49" s="10">
        <v>2</v>
      </c>
      <c r="J49" s="12">
        <v>0.05</v>
      </c>
      <c r="K49" s="8">
        <v>22709.58</v>
      </c>
      <c r="L49">
        <v>43148.2</v>
      </c>
      <c r="M49" s="8">
        <v>28851.08</v>
      </c>
      <c r="N49" s="8">
        <v>14297.12</v>
      </c>
      <c r="O49" t="s">
        <v>26</v>
      </c>
      <c r="P49" t="str">
        <f>UPPER(TRIM(SalesData[[#This Row],[Payment Mode]]))</f>
        <v>NET BANKING</v>
      </c>
    </row>
    <row r="50" spans="1:16" x14ac:dyDescent="0.35">
      <c r="A50" s="4" t="s">
        <v>119</v>
      </c>
      <c r="B50" s="6">
        <v>45688</v>
      </c>
      <c r="C50" t="s">
        <v>15</v>
      </c>
      <c r="D50" t="str">
        <f>TRIM(SalesData[[#This Row],[Customer Name]])</f>
        <v>Isha Bhosale</v>
      </c>
      <c r="E50" t="s">
        <v>73</v>
      </c>
      <c r="F50" t="s">
        <v>74</v>
      </c>
      <c r="G50" t="s">
        <v>75</v>
      </c>
      <c r="H50" t="s">
        <v>18</v>
      </c>
      <c r="I50" s="10">
        <v>1</v>
      </c>
      <c r="J50" s="12">
        <v>0.1</v>
      </c>
      <c r="K50" s="8">
        <v>15211.25</v>
      </c>
      <c r="L50">
        <v>13690.12</v>
      </c>
      <c r="M50" s="8">
        <v>8601.5499999999993</v>
      </c>
      <c r="N50" s="8">
        <v>5088.57</v>
      </c>
      <c r="O50" t="s">
        <v>43</v>
      </c>
      <c r="P50" t="str">
        <f>UPPER(TRIM(SalesData[[#This Row],[Payment Mode]]))</f>
        <v>UPI</v>
      </c>
    </row>
    <row r="51" spans="1:16" x14ac:dyDescent="0.35">
      <c r="A51" s="4" t="s">
        <v>120</v>
      </c>
      <c r="B51" s="6">
        <v>45688</v>
      </c>
      <c r="C51" t="s">
        <v>67</v>
      </c>
      <c r="D51" t="str">
        <f>TRIM(SalesData[[#This Row],[Customer Name]])</f>
        <v>Anjali Chavan</v>
      </c>
      <c r="E51" t="s">
        <v>31</v>
      </c>
      <c r="F51" t="s">
        <v>23</v>
      </c>
      <c r="G51" t="s">
        <v>101</v>
      </c>
      <c r="H51" t="s">
        <v>18</v>
      </c>
      <c r="I51" s="10">
        <v>4</v>
      </c>
      <c r="J51" s="12">
        <v>0</v>
      </c>
      <c r="K51" s="8">
        <v>18685.57</v>
      </c>
      <c r="L51">
        <v>74742.28</v>
      </c>
      <c r="M51" s="8">
        <v>33189.879999999997</v>
      </c>
      <c r="N51" s="8">
        <v>41552.400000000001</v>
      </c>
      <c r="O51" t="s">
        <v>48</v>
      </c>
      <c r="P51" t="str">
        <f>UPPER(TRIM(SalesData[[#This Row],[Payment Mode]]))</f>
        <v>CREDIT CARD</v>
      </c>
    </row>
    <row r="52" spans="1:16" x14ac:dyDescent="0.35">
      <c r="A52" s="4" t="s">
        <v>121</v>
      </c>
      <c r="B52" s="6">
        <v>45689</v>
      </c>
      <c r="C52" t="s">
        <v>85</v>
      </c>
      <c r="D52" t="str">
        <f>TRIM(SalesData[[#This Row],[Customer Name]])</f>
        <v>Amit Verma</v>
      </c>
      <c r="E52" t="s">
        <v>46</v>
      </c>
      <c r="F52" t="s">
        <v>23</v>
      </c>
      <c r="G52" t="s">
        <v>32</v>
      </c>
      <c r="H52" t="s">
        <v>18</v>
      </c>
      <c r="I52" s="10">
        <v>5</v>
      </c>
      <c r="J52" s="12">
        <v>0</v>
      </c>
      <c r="K52" s="8">
        <v>51440.97</v>
      </c>
      <c r="L52">
        <v>257204.85</v>
      </c>
      <c r="M52" s="8">
        <v>209578.7</v>
      </c>
      <c r="N52" s="8">
        <v>47626.15</v>
      </c>
      <c r="O52" t="s">
        <v>26</v>
      </c>
      <c r="P52" t="str">
        <f>UPPER(TRIM(SalesData[[#This Row],[Payment Mode]]))</f>
        <v>NET BANKING</v>
      </c>
    </row>
    <row r="53" spans="1:16" x14ac:dyDescent="0.35">
      <c r="A53" s="4" t="s">
        <v>122</v>
      </c>
      <c r="B53" s="6">
        <v>45689</v>
      </c>
      <c r="C53" t="s">
        <v>62</v>
      </c>
      <c r="D53" t="str">
        <f>TRIM(SalesData[[#This Row],[Customer Name]])</f>
        <v>Vivek More</v>
      </c>
      <c r="E53" t="s">
        <v>31</v>
      </c>
      <c r="F53" t="s">
        <v>23</v>
      </c>
      <c r="G53" t="s">
        <v>47</v>
      </c>
      <c r="H53" t="s">
        <v>25</v>
      </c>
      <c r="I53" s="10">
        <v>3</v>
      </c>
      <c r="J53" s="12">
        <v>0</v>
      </c>
      <c r="K53" s="8">
        <v>6179.16</v>
      </c>
      <c r="L53">
        <v>18537.48</v>
      </c>
      <c r="M53" s="8">
        <v>7850.82</v>
      </c>
      <c r="N53" s="8">
        <v>10686.66</v>
      </c>
      <c r="O53" t="s">
        <v>19</v>
      </c>
      <c r="P53" t="str">
        <f>UPPER(TRIM(SalesData[[#This Row],[Payment Mode]]))</f>
        <v>CASH</v>
      </c>
    </row>
    <row r="54" spans="1:16" x14ac:dyDescent="0.35">
      <c r="A54" s="4" t="s">
        <v>123</v>
      </c>
      <c r="B54" s="6">
        <v>45689</v>
      </c>
      <c r="C54" t="s">
        <v>116</v>
      </c>
      <c r="D54" t="str">
        <f>TRIM(SalesData[[#This Row],[Customer Name]])</f>
        <v>Sneha Kulkarni</v>
      </c>
      <c r="E54" t="s">
        <v>83</v>
      </c>
      <c r="F54" t="s">
        <v>23</v>
      </c>
      <c r="G54" t="s">
        <v>47</v>
      </c>
      <c r="H54" t="s">
        <v>25</v>
      </c>
      <c r="I54" s="10">
        <v>5</v>
      </c>
      <c r="J54" s="12">
        <v>0.1</v>
      </c>
      <c r="K54" s="8">
        <v>5997.76</v>
      </c>
      <c r="L54">
        <v>26989.919999999998</v>
      </c>
      <c r="M54" s="8">
        <v>12350.65</v>
      </c>
      <c r="N54" s="8">
        <v>14639.27</v>
      </c>
      <c r="O54" t="s">
        <v>48</v>
      </c>
      <c r="P54" t="str">
        <f>UPPER(TRIM(SalesData[[#This Row],[Payment Mode]]))</f>
        <v>CREDIT CARD</v>
      </c>
    </row>
    <row r="55" spans="1:16" x14ac:dyDescent="0.35">
      <c r="A55" s="4" t="s">
        <v>124</v>
      </c>
      <c r="B55" s="6">
        <v>45690</v>
      </c>
      <c r="C55" t="s">
        <v>64</v>
      </c>
      <c r="D55" t="str">
        <f>TRIM(SalesData[[#This Row],[Customer Name]])</f>
        <v>Neha Jadhav</v>
      </c>
      <c r="E55" t="s">
        <v>16</v>
      </c>
      <c r="F55" t="s">
        <v>16</v>
      </c>
      <c r="G55" t="s">
        <v>47</v>
      </c>
      <c r="H55" t="s">
        <v>25</v>
      </c>
      <c r="I55" s="10">
        <v>4</v>
      </c>
      <c r="J55" s="12">
        <v>0.05</v>
      </c>
      <c r="K55" s="8">
        <v>6056.64</v>
      </c>
      <c r="L55">
        <v>23015.23</v>
      </c>
      <c r="M55" s="8">
        <v>9883.6</v>
      </c>
      <c r="N55" s="8">
        <v>13131.63</v>
      </c>
      <c r="O55" t="s">
        <v>37</v>
      </c>
      <c r="P55" t="str">
        <f>UPPER(TRIM(SalesData[[#This Row],[Payment Mode]]))</f>
        <v>DEBIT CARD</v>
      </c>
    </row>
    <row r="56" spans="1:16" x14ac:dyDescent="0.35">
      <c r="A56" s="4" t="s">
        <v>125</v>
      </c>
      <c r="B56" s="6">
        <v>45693</v>
      </c>
      <c r="C56" t="s">
        <v>93</v>
      </c>
      <c r="D56" t="str">
        <f>TRIM(SalesData[[#This Row],[Customer Name]])</f>
        <v>Aditya Joshi</v>
      </c>
      <c r="E56" t="s">
        <v>86</v>
      </c>
      <c r="F56" t="s">
        <v>87</v>
      </c>
      <c r="G56" t="s">
        <v>75</v>
      </c>
      <c r="H56" t="s">
        <v>18</v>
      </c>
      <c r="I56" s="10">
        <v>2</v>
      </c>
      <c r="J56" s="12">
        <v>0</v>
      </c>
      <c r="K56" s="8">
        <v>15733.71</v>
      </c>
      <c r="L56">
        <v>31467.42</v>
      </c>
      <c r="M56" s="8">
        <v>18144.86</v>
      </c>
      <c r="N56" s="8">
        <v>13322.56</v>
      </c>
      <c r="O56" t="s">
        <v>26</v>
      </c>
      <c r="P56" t="str">
        <f>UPPER(TRIM(SalesData[[#This Row],[Payment Mode]]))</f>
        <v>NET BANKING</v>
      </c>
    </row>
    <row r="57" spans="1:16" x14ac:dyDescent="0.35">
      <c r="A57" s="4" t="s">
        <v>126</v>
      </c>
      <c r="B57" s="6">
        <v>45693</v>
      </c>
      <c r="C57" t="s">
        <v>15</v>
      </c>
      <c r="D57" t="str">
        <f>TRIM(SalesData[[#This Row],[Customer Name]])</f>
        <v>Isha Bhosale</v>
      </c>
      <c r="E57" t="s">
        <v>86</v>
      </c>
      <c r="F57" t="s">
        <v>87</v>
      </c>
      <c r="G57" t="s">
        <v>24</v>
      </c>
      <c r="H57" t="s">
        <v>25</v>
      </c>
      <c r="I57" s="10">
        <v>5</v>
      </c>
      <c r="J57" s="12">
        <v>0</v>
      </c>
      <c r="K57" s="8">
        <v>8815.75</v>
      </c>
      <c r="L57">
        <v>44078.75</v>
      </c>
      <c r="M57" s="8">
        <v>23160.15</v>
      </c>
      <c r="N57" s="8">
        <v>20918.599999999999</v>
      </c>
      <c r="O57" t="s">
        <v>19</v>
      </c>
      <c r="P57" t="str">
        <f>UPPER(TRIM(SalesData[[#This Row],[Payment Mode]]))</f>
        <v>CASH</v>
      </c>
    </row>
    <row r="58" spans="1:16" x14ac:dyDescent="0.35">
      <c r="A58" s="4" t="s">
        <v>127</v>
      </c>
      <c r="B58" s="6">
        <v>45694</v>
      </c>
      <c r="C58" t="s">
        <v>62</v>
      </c>
      <c r="D58" t="str">
        <f>TRIM(SalesData[[#This Row],[Customer Name]])</f>
        <v>Vivek More</v>
      </c>
      <c r="E58" t="s">
        <v>46</v>
      </c>
      <c r="F58" t="s">
        <v>23</v>
      </c>
      <c r="G58" t="s">
        <v>35</v>
      </c>
      <c r="H58" t="s">
        <v>36</v>
      </c>
      <c r="I58" s="10">
        <v>3</v>
      </c>
      <c r="J58" s="12">
        <v>0.05</v>
      </c>
      <c r="K58" s="8">
        <v>1172.26</v>
      </c>
      <c r="L58">
        <v>3340.94</v>
      </c>
      <c r="M58" s="8">
        <v>1036.2</v>
      </c>
      <c r="N58" s="8">
        <v>2304.7399999999998</v>
      </c>
      <c r="O58" t="s">
        <v>48</v>
      </c>
      <c r="P58" t="str">
        <f>UPPER(TRIM(SalesData[[#This Row],[Payment Mode]]))</f>
        <v>CREDIT CARD</v>
      </c>
    </row>
    <row r="59" spans="1:16" x14ac:dyDescent="0.35">
      <c r="A59" s="4" t="s">
        <v>128</v>
      </c>
      <c r="B59" s="6">
        <v>45695</v>
      </c>
      <c r="C59" t="s">
        <v>45</v>
      </c>
      <c r="D59" t="str">
        <f>TRIM(SalesData[[#This Row],[Customer Name]])</f>
        <v>Nikhil Gupta</v>
      </c>
      <c r="E59" t="s">
        <v>86</v>
      </c>
      <c r="F59" t="s">
        <v>87</v>
      </c>
      <c r="G59" t="s">
        <v>17</v>
      </c>
      <c r="H59" t="s">
        <v>18</v>
      </c>
      <c r="I59" s="10">
        <v>5</v>
      </c>
      <c r="J59" s="12">
        <v>0.05</v>
      </c>
      <c r="K59" s="8">
        <v>12396.64</v>
      </c>
      <c r="L59">
        <v>58884.04</v>
      </c>
      <c r="M59" s="8">
        <v>31098.3</v>
      </c>
      <c r="N59" s="8">
        <v>27785.74</v>
      </c>
      <c r="O59" t="s">
        <v>19</v>
      </c>
      <c r="P59" t="str">
        <f>UPPER(TRIM(SalesData[[#This Row],[Payment Mode]]))</f>
        <v>CASH</v>
      </c>
    </row>
    <row r="60" spans="1:16" x14ac:dyDescent="0.35">
      <c r="A60" s="4" t="s">
        <v>129</v>
      </c>
      <c r="B60" s="6">
        <v>45695</v>
      </c>
      <c r="C60" t="s">
        <v>59</v>
      </c>
      <c r="D60" t="str">
        <f>TRIM(SalesData[[#This Row],[Customer Name]])</f>
        <v>Rohan Deshmukh</v>
      </c>
      <c r="E60" t="s">
        <v>73</v>
      </c>
      <c r="F60" t="s">
        <v>74</v>
      </c>
      <c r="G60" t="s">
        <v>77</v>
      </c>
      <c r="H60" t="s">
        <v>25</v>
      </c>
      <c r="I60" s="10">
        <v>2</v>
      </c>
      <c r="J60" s="12">
        <v>0</v>
      </c>
      <c r="K60" s="8">
        <v>7229.12</v>
      </c>
      <c r="L60">
        <v>14458.24</v>
      </c>
      <c r="M60" s="8">
        <v>6651.9</v>
      </c>
      <c r="N60" s="8">
        <v>7806.34</v>
      </c>
      <c r="O60" t="s">
        <v>43</v>
      </c>
      <c r="P60" t="str">
        <f>UPPER(TRIM(SalesData[[#This Row],[Payment Mode]]))</f>
        <v>UPI</v>
      </c>
    </row>
    <row r="61" spans="1:16" x14ac:dyDescent="0.35">
      <c r="A61" s="4" t="s">
        <v>130</v>
      </c>
      <c r="B61" s="6">
        <v>45696</v>
      </c>
      <c r="C61" t="s">
        <v>34</v>
      </c>
      <c r="D61" t="str">
        <f>TRIM(SalesData[[#This Row],[Customer Name]])</f>
        <v>Meera Desai</v>
      </c>
      <c r="E61" t="s">
        <v>31</v>
      </c>
      <c r="F61" t="s">
        <v>23</v>
      </c>
      <c r="G61" t="s">
        <v>17</v>
      </c>
      <c r="H61" t="s">
        <v>18</v>
      </c>
      <c r="I61" s="10">
        <v>2</v>
      </c>
      <c r="J61" s="12">
        <v>0</v>
      </c>
      <c r="K61" s="8">
        <v>12449.64</v>
      </c>
      <c r="L61">
        <v>24899.279999999999</v>
      </c>
      <c r="M61" s="8">
        <v>13037.62</v>
      </c>
      <c r="N61" s="8">
        <v>11861.66</v>
      </c>
      <c r="O61" t="s">
        <v>19</v>
      </c>
      <c r="P61" t="str">
        <f>UPPER(TRIM(SalesData[[#This Row],[Payment Mode]]))</f>
        <v>CASH</v>
      </c>
    </row>
    <row r="62" spans="1:16" x14ac:dyDescent="0.35">
      <c r="A62" s="4" t="s">
        <v>131</v>
      </c>
      <c r="B62" s="6">
        <v>45698</v>
      </c>
      <c r="C62" t="s">
        <v>95</v>
      </c>
      <c r="D62" t="str">
        <f>TRIM(SalesData[[#This Row],[Customer Name]])</f>
        <v>Rahul Pawar</v>
      </c>
      <c r="E62" t="s">
        <v>86</v>
      </c>
      <c r="F62" t="s">
        <v>87</v>
      </c>
      <c r="G62" t="s">
        <v>32</v>
      </c>
      <c r="H62" t="s">
        <v>18</v>
      </c>
      <c r="I62" s="10">
        <v>3</v>
      </c>
      <c r="J62" s="12">
        <v>0.1</v>
      </c>
      <c r="K62" s="8">
        <v>52550.99</v>
      </c>
      <c r="L62">
        <v>141887.67000000001</v>
      </c>
      <c r="M62" s="8">
        <v>131371.38</v>
      </c>
      <c r="N62" s="8">
        <v>10516.29</v>
      </c>
      <c r="O62" t="s">
        <v>43</v>
      </c>
      <c r="P62" t="str">
        <f>UPPER(TRIM(SalesData[[#This Row],[Payment Mode]]))</f>
        <v>UPI</v>
      </c>
    </row>
    <row r="63" spans="1:16" x14ac:dyDescent="0.35">
      <c r="A63" s="4" t="s">
        <v>132</v>
      </c>
      <c r="B63" s="6">
        <v>45698</v>
      </c>
      <c r="C63" t="s">
        <v>67</v>
      </c>
      <c r="D63" t="str">
        <f>TRIM(SalesData[[#This Row],[Customer Name]])</f>
        <v>Anjali Chavan</v>
      </c>
      <c r="E63" t="s">
        <v>16</v>
      </c>
      <c r="F63" t="s">
        <v>16</v>
      </c>
      <c r="G63" t="s">
        <v>101</v>
      </c>
      <c r="H63" t="s">
        <v>18</v>
      </c>
      <c r="I63" s="10">
        <v>1</v>
      </c>
      <c r="J63" s="12">
        <v>0</v>
      </c>
      <c r="K63" s="8">
        <v>18893.27</v>
      </c>
      <c r="L63">
        <v>18893.27</v>
      </c>
      <c r="M63" s="8">
        <v>7783.34</v>
      </c>
      <c r="N63" s="8">
        <v>11109.93</v>
      </c>
      <c r="O63" t="s">
        <v>48</v>
      </c>
      <c r="P63" t="str">
        <f>UPPER(TRIM(SalesData[[#This Row],[Payment Mode]]))</f>
        <v>CREDIT CARD</v>
      </c>
    </row>
    <row r="64" spans="1:16" x14ac:dyDescent="0.35">
      <c r="A64" s="4" t="s">
        <v>133</v>
      </c>
      <c r="B64" s="6">
        <v>45699</v>
      </c>
      <c r="C64" t="s">
        <v>64</v>
      </c>
      <c r="D64" t="str">
        <f>TRIM(SalesData[[#This Row],[Customer Name]])</f>
        <v>Neha Jadhav</v>
      </c>
      <c r="E64" t="s">
        <v>28</v>
      </c>
      <c r="F64" t="s">
        <v>23</v>
      </c>
      <c r="G64" t="s">
        <v>35</v>
      </c>
      <c r="H64" t="s">
        <v>36</v>
      </c>
      <c r="I64" s="10">
        <v>3</v>
      </c>
      <c r="J64" s="12">
        <v>0.05</v>
      </c>
      <c r="K64" s="8">
        <v>1207.99</v>
      </c>
      <c r="L64">
        <v>3442.77</v>
      </c>
      <c r="M64" s="8">
        <v>1038.57</v>
      </c>
      <c r="N64" s="8">
        <v>2404.1999999999998</v>
      </c>
      <c r="O64" t="s">
        <v>48</v>
      </c>
      <c r="P64" t="str">
        <f>UPPER(TRIM(SalesData[[#This Row],[Payment Mode]]))</f>
        <v>CREDIT CARD</v>
      </c>
    </row>
    <row r="65" spans="1:16" x14ac:dyDescent="0.35">
      <c r="A65" s="4" t="s">
        <v>134</v>
      </c>
      <c r="B65" s="6">
        <v>45700</v>
      </c>
      <c r="C65" t="s">
        <v>62</v>
      </c>
      <c r="D65" t="str">
        <f>TRIM(SalesData[[#This Row],[Customer Name]])</f>
        <v>Vivek More</v>
      </c>
      <c r="E65" t="s">
        <v>135</v>
      </c>
      <c r="F65" t="s">
        <v>87</v>
      </c>
      <c r="G65" t="s">
        <v>41</v>
      </c>
      <c r="H65" t="s">
        <v>42</v>
      </c>
      <c r="I65" s="10">
        <v>1</v>
      </c>
      <c r="J65" s="12">
        <v>0.05</v>
      </c>
      <c r="K65" s="8">
        <v>1730.66</v>
      </c>
      <c r="L65">
        <v>1644.13</v>
      </c>
      <c r="M65" s="8">
        <v>725.21</v>
      </c>
      <c r="N65" s="8">
        <v>918.92</v>
      </c>
      <c r="O65" t="s">
        <v>43</v>
      </c>
      <c r="P65" t="str">
        <f>UPPER(TRIM(SalesData[[#This Row],[Payment Mode]]))</f>
        <v>UPI</v>
      </c>
    </row>
    <row r="66" spans="1:16" x14ac:dyDescent="0.35">
      <c r="A66" s="4" t="s">
        <v>136</v>
      </c>
      <c r="B66" s="6">
        <v>45704</v>
      </c>
      <c r="C66" t="s">
        <v>67</v>
      </c>
      <c r="D66" t="str">
        <f>TRIM(SalesData[[#This Row],[Customer Name]])</f>
        <v>Anjali Chavan</v>
      </c>
      <c r="E66" t="s">
        <v>86</v>
      </c>
      <c r="F66" t="s">
        <v>87</v>
      </c>
      <c r="G66" t="s">
        <v>65</v>
      </c>
      <c r="H66" t="s">
        <v>18</v>
      </c>
      <c r="I66" s="10">
        <v>1</v>
      </c>
      <c r="J66" s="12">
        <v>0.05</v>
      </c>
      <c r="K66" s="8">
        <v>22424.99</v>
      </c>
      <c r="L66">
        <v>21303.74</v>
      </c>
      <c r="M66" s="8">
        <v>13372.23</v>
      </c>
      <c r="N66" s="8">
        <v>7931.51</v>
      </c>
      <c r="O66" t="s">
        <v>43</v>
      </c>
      <c r="P66" t="str">
        <f>UPPER(TRIM(SalesData[[#This Row],[Payment Mode]]))</f>
        <v>UPI</v>
      </c>
    </row>
    <row r="67" spans="1:16" x14ac:dyDescent="0.35">
      <c r="A67" s="4" t="s">
        <v>137</v>
      </c>
      <c r="B67" s="6">
        <v>45704</v>
      </c>
      <c r="C67" t="s">
        <v>21</v>
      </c>
      <c r="D67" t="str">
        <f>TRIM(SalesData[[#This Row],[Customer Name]])</f>
        <v>Aarav Sharma</v>
      </c>
      <c r="E67" t="s">
        <v>83</v>
      </c>
      <c r="F67" t="s">
        <v>23</v>
      </c>
      <c r="G67" t="s">
        <v>60</v>
      </c>
      <c r="H67" t="s">
        <v>36</v>
      </c>
      <c r="I67" s="10">
        <v>5</v>
      </c>
      <c r="J67" s="12">
        <v>0</v>
      </c>
      <c r="K67" s="8">
        <v>3394.74</v>
      </c>
      <c r="L67">
        <v>16973.7</v>
      </c>
      <c r="M67" s="8">
        <v>6226.5</v>
      </c>
      <c r="N67" s="8">
        <v>10747.2</v>
      </c>
      <c r="O67" t="s">
        <v>43</v>
      </c>
      <c r="P67" t="str">
        <f>UPPER(TRIM(SalesData[[#This Row],[Payment Mode]]))</f>
        <v>UPI</v>
      </c>
    </row>
    <row r="68" spans="1:16" x14ac:dyDescent="0.35">
      <c r="A68" s="4" t="s">
        <v>138</v>
      </c>
      <c r="B68" s="6">
        <v>45704</v>
      </c>
      <c r="C68" t="s">
        <v>39</v>
      </c>
      <c r="D68" t="str">
        <f>TRIM(SalesData[[#This Row],[Customer Name]])</f>
        <v>Akash Wagh</v>
      </c>
      <c r="E68" t="s">
        <v>40</v>
      </c>
      <c r="F68" t="s">
        <v>23</v>
      </c>
      <c r="G68" t="s">
        <v>17</v>
      </c>
      <c r="H68" t="s">
        <v>18</v>
      </c>
      <c r="I68" s="10">
        <v>3</v>
      </c>
      <c r="J68" s="12">
        <v>0.1</v>
      </c>
      <c r="K68" s="8">
        <v>11417.27</v>
      </c>
      <c r="L68">
        <v>30826.63</v>
      </c>
      <c r="M68" s="8">
        <v>18751.349999999999</v>
      </c>
      <c r="N68" s="8">
        <v>12075.28</v>
      </c>
      <c r="O68" t="s">
        <v>19</v>
      </c>
      <c r="P68" t="str">
        <f>UPPER(TRIM(SalesData[[#This Row],[Payment Mode]]))</f>
        <v>CASH</v>
      </c>
    </row>
    <row r="69" spans="1:16" x14ac:dyDescent="0.35">
      <c r="A69" s="4" t="s">
        <v>139</v>
      </c>
      <c r="B69" s="6">
        <v>45705</v>
      </c>
      <c r="C69" t="s">
        <v>56</v>
      </c>
      <c r="D69" t="str">
        <f>TRIM(SalesData[[#This Row],[Customer Name]])</f>
        <v>Pooja Shinde</v>
      </c>
      <c r="E69" t="s">
        <v>46</v>
      </c>
      <c r="F69" t="s">
        <v>23</v>
      </c>
      <c r="G69" t="s">
        <v>107</v>
      </c>
      <c r="H69" t="s">
        <v>36</v>
      </c>
      <c r="I69" s="10">
        <v>1</v>
      </c>
      <c r="J69" s="12">
        <v>0</v>
      </c>
      <c r="K69" s="8">
        <v>1738.16</v>
      </c>
      <c r="L69">
        <v>1738.16</v>
      </c>
      <c r="M69" s="8">
        <v>585.01</v>
      </c>
      <c r="N69" s="8">
        <v>1153.1500000000001</v>
      </c>
      <c r="O69" t="s">
        <v>26</v>
      </c>
      <c r="P69" t="str">
        <f>UPPER(TRIM(SalesData[[#This Row],[Payment Mode]]))</f>
        <v>NET BANKING</v>
      </c>
    </row>
    <row r="70" spans="1:16" x14ac:dyDescent="0.35">
      <c r="A70" s="4" t="s">
        <v>140</v>
      </c>
      <c r="B70" s="6">
        <v>45706</v>
      </c>
      <c r="C70" t="s">
        <v>67</v>
      </c>
      <c r="D70" t="str">
        <f>TRIM(SalesData[[#This Row],[Customer Name]])</f>
        <v>Anjali Chavan</v>
      </c>
      <c r="E70" t="s">
        <v>73</v>
      </c>
      <c r="F70" t="s">
        <v>74</v>
      </c>
      <c r="G70" t="s">
        <v>47</v>
      </c>
      <c r="H70" t="s">
        <v>25</v>
      </c>
      <c r="I70" s="10">
        <v>5</v>
      </c>
      <c r="J70" s="12">
        <v>0.05</v>
      </c>
      <c r="K70" s="8">
        <v>6066.99</v>
      </c>
      <c r="L70">
        <v>28818.2</v>
      </c>
      <c r="M70" s="8">
        <v>11883.85</v>
      </c>
      <c r="N70" s="8">
        <v>16934.349999999999</v>
      </c>
      <c r="O70" t="s">
        <v>19</v>
      </c>
      <c r="P70" t="str">
        <f>UPPER(TRIM(SalesData[[#This Row],[Payment Mode]]))</f>
        <v>CASH</v>
      </c>
    </row>
    <row r="71" spans="1:16" x14ac:dyDescent="0.35">
      <c r="A71" s="4" t="s">
        <v>141</v>
      </c>
      <c r="B71" s="6">
        <v>45706</v>
      </c>
      <c r="C71" t="s">
        <v>34</v>
      </c>
      <c r="D71" t="str">
        <f>TRIM(SalesData[[#This Row],[Customer Name]])</f>
        <v>Meera Desai</v>
      </c>
      <c r="E71" t="s">
        <v>46</v>
      </c>
      <c r="F71" t="s">
        <v>23</v>
      </c>
      <c r="G71" t="s">
        <v>75</v>
      </c>
      <c r="H71" t="s">
        <v>18</v>
      </c>
      <c r="I71" s="10">
        <v>3</v>
      </c>
      <c r="J71" s="12">
        <v>0</v>
      </c>
      <c r="K71" s="8">
        <v>15958.86</v>
      </c>
      <c r="L71">
        <v>47876.58</v>
      </c>
      <c r="M71" s="8">
        <v>27245.34</v>
      </c>
      <c r="N71" s="8">
        <v>20631.240000000002</v>
      </c>
      <c r="O71" t="s">
        <v>43</v>
      </c>
      <c r="P71" t="str">
        <f>UPPER(TRIM(SalesData[[#This Row],[Payment Mode]]))</f>
        <v>UPI</v>
      </c>
    </row>
    <row r="72" spans="1:16" x14ac:dyDescent="0.35">
      <c r="A72" s="4" t="s">
        <v>142</v>
      </c>
      <c r="B72" s="6">
        <v>45707</v>
      </c>
      <c r="C72" t="s">
        <v>56</v>
      </c>
      <c r="D72" t="str">
        <f>TRIM(SalesData[[#This Row],[Customer Name]])</f>
        <v>Pooja Shinde</v>
      </c>
      <c r="E72" t="s">
        <v>28</v>
      </c>
      <c r="F72" t="s">
        <v>23</v>
      </c>
      <c r="G72" t="s">
        <v>47</v>
      </c>
      <c r="H72" t="s">
        <v>25</v>
      </c>
      <c r="I72" s="10">
        <v>4</v>
      </c>
      <c r="J72" s="12">
        <v>0</v>
      </c>
      <c r="K72" s="8">
        <v>5997.11</v>
      </c>
      <c r="L72">
        <v>23988.44</v>
      </c>
      <c r="M72" s="8">
        <v>9534.4</v>
      </c>
      <c r="N72" s="8">
        <v>14454.04</v>
      </c>
      <c r="O72" t="s">
        <v>19</v>
      </c>
      <c r="P72" t="str">
        <f>UPPER(TRIM(SalesData[[#This Row],[Payment Mode]]))</f>
        <v>CASH</v>
      </c>
    </row>
    <row r="73" spans="1:16" x14ac:dyDescent="0.35">
      <c r="A73" s="4" t="s">
        <v>143</v>
      </c>
      <c r="B73" s="6">
        <v>45710</v>
      </c>
      <c r="C73" t="s">
        <v>30</v>
      </c>
      <c r="D73" t="str">
        <f>TRIM(SalesData[[#This Row],[Customer Name]])</f>
        <v>Swati Kale</v>
      </c>
      <c r="E73" t="s">
        <v>73</v>
      </c>
      <c r="F73" t="s">
        <v>74</v>
      </c>
      <c r="G73" t="s">
        <v>60</v>
      </c>
      <c r="H73" t="s">
        <v>36</v>
      </c>
      <c r="I73" s="10">
        <v>3</v>
      </c>
      <c r="J73" s="12">
        <v>0.05</v>
      </c>
      <c r="K73" s="8">
        <v>3354.15</v>
      </c>
      <c r="L73">
        <v>9559.33</v>
      </c>
      <c r="M73" s="8">
        <v>3453</v>
      </c>
      <c r="N73" s="8">
        <v>6106.33</v>
      </c>
      <c r="O73" t="s">
        <v>43</v>
      </c>
      <c r="P73" t="str">
        <f>UPPER(TRIM(SalesData[[#This Row],[Payment Mode]]))</f>
        <v>UPI</v>
      </c>
    </row>
    <row r="74" spans="1:16" x14ac:dyDescent="0.35">
      <c r="A74" s="4" t="s">
        <v>144</v>
      </c>
      <c r="B74" s="6">
        <v>45710</v>
      </c>
      <c r="C74" t="s">
        <v>89</v>
      </c>
      <c r="D74" t="str">
        <f>TRIM(SalesData[[#This Row],[Customer Name]])</f>
        <v>Kunal Thakur</v>
      </c>
      <c r="E74" t="s">
        <v>31</v>
      </c>
      <c r="F74" t="s">
        <v>23</v>
      </c>
      <c r="G74" t="s">
        <v>24</v>
      </c>
      <c r="H74" t="s">
        <v>25</v>
      </c>
      <c r="I74" s="10">
        <v>1</v>
      </c>
      <c r="J74" s="12">
        <v>0.05</v>
      </c>
      <c r="K74" s="8">
        <v>8747.35</v>
      </c>
      <c r="L74">
        <v>8309.98</v>
      </c>
      <c r="M74" s="8">
        <v>4290.1499999999996</v>
      </c>
      <c r="N74" s="8">
        <v>4019.83</v>
      </c>
      <c r="O74" t="s">
        <v>43</v>
      </c>
      <c r="P74" t="str">
        <f>UPPER(TRIM(SalesData[[#This Row],[Payment Mode]]))</f>
        <v>UPI</v>
      </c>
    </row>
    <row r="75" spans="1:16" x14ac:dyDescent="0.35">
      <c r="A75" s="4" t="s">
        <v>145</v>
      </c>
      <c r="B75" s="6">
        <v>45711</v>
      </c>
      <c r="C75" t="s">
        <v>67</v>
      </c>
      <c r="D75" t="str">
        <f>TRIM(SalesData[[#This Row],[Customer Name]])</f>
        <v>Anjali Chavan</v>
      </c>
      <c r="E75" t="s">
        <v>46</v>
      </c>
      <c r="F75" t="s">
        <v>23</v>
      </c>
      <c r="G75" t="s">
        <v>60</v>
      </c>
      <c r="H75" t="s">
        <v>36</v>
      </c>
      <c r="I75" s="10">
        <v>5</v>
      </c>
      <c r="J75" s="12">
        <v>0</v>
      </c>
      <c r="K75" s="8">
        <v>3453.73</v>
      </c>
      <c r="L75">
        <v>17268.650000000001</v>
      </c>
      <c r="M75" s="8">
        <v>5734.85</v>
      </c>
      <c r="N75" s="8">
        <v>11533.8</v>
      </c>
      <c r="O75" t="s">
        <v>26</v>
      </c>
      <c r="P75" t="str">
        <f>UPPER(TRIM(SalesData[[#This Row],[Payment Mode]]))</f>
        <v>NET BANKING</v>
      </c>
    </row>
    <row r="76" spans="1:16" x14ac:dyDescent="0.35">
      <c r="A76" s="4" t="s">
        <v>146</v>
      </c>
      <c r="B76" s="6">
        <v>45711</v>
      </c>
      <c r="C76" t="s">
        <v>15</v>
      </c>
      <c r="D76" t="str">
        <f>TRIM(SalesData[[#This Row],[Customer Name]])</f>
        <v>Isha Bhosale</v>
      </c>
      <c r="E76" t="s">
        <v>83</v>
      </c>
      <c r="F76" t="s">
        <v>23</v>
      </c>
      <c r="G76" t="s">
        <v>41</v>
      </c>
      <c r="H76" t="s">
        <v>42</v>
      </c>
      <c r="I76" s="10">
        <v>1</v>
      </c>
      <c r="J76" s="12">
        <v>0.05</v>
      </c>
      <c r="K76" s="8">
        <v>1866.05</v>
      </c>
      <c r="L76">
        <v>1772.75</v>
      </c>
      <c r="M76" s="8">
        <v>696.78</v>
      </c>
      <c r="N76" s="8">
        <v>1075.97</v>
      </c>
      <c r="O76" t="s">
        <v>19</v>
      </c>
      <c r="P76" t="str">
        <f>UPPER(TRIM(SalesData[[#This Row],[Payment Mode]]))</f>
        <v>CASH</v>
      </c>
    </row>
    <row r="77" spans="1:16" x14ac:dyDescent="0.35">
      <c r="A77" s="4" t="s">
        <v>147</v>
      </c>
      <c r="B77" s="6">
        <v>45713</v>
      </c>
      <c r="C77" t="s">
        <v>64</v>
      </c>
      <c r="D77" t="str">
        <f>TRIM(SalesData[[#This Row],[Customer Name]])</f>
        <v>Neha Jadhav</v>
      </c>
      <c r="E77" t="s">
        <v>53</v>
      </c>
      <c r="F77" t="s">
        <v>54</v>
      </c>
      <c r="G77" t="s">
        <v>32</v>
      </c>
      <c r="H77" t="s">
        <v>18</v>
      </c>
      <c r="I77" s="10">
        <v>1</v>
      </c>
      <c r="J77" s="12">
        <v>0</v>
      </c>
      <c r="K77" s="8">
        <v>52922.44</v>
      </c>
      <c r="L77">
        <v>52922.44</v>
      </c>
      <c r="M77" s="8">
        <v>42276.28</v>
      </c>
      <c r="N77" s="8">
        <v>10646.16</v>
      </c>
      <c r="O77" t="s">
        <v>48</v>
      </c>
      <c r="P77" t="str">
        <f>UPPER(TRIM(SalesData[[#This Row],[Payment Mode]]))</f>
        <v>CREDIT CARD</v>
      </c>
    </row>
    <row r="78" spans="1:16" x14ac:dyDescent="0.35">
      <c r="A78" s="4" t="s">
        <v>148</v>
      </c>
      <c r="B78" s="6">
        <v>45715</v>
      </c>
      <c r="C78" t="s">
        <v>39</v>
      </c>
      <c r="D78" t="str">
        <f>TRIM(SalesData[[#This Row],[Customer Name]])</f>
        <v>Akash Wagh</v>
      </c>
      <c r="E78" t="s">
        <v>86</v>
      </c>
      <c r="F78" t="s">
        <v>87</v>
      </c>
      <c r="G78" t="s">
        <v>24</v>
      </c>
      <c r="H78" t="s">
        <v>25</v>
      </c>
      <c r="I78" s="10">
        <v>3</v>
      </c>
      <c r="J78" s="12">
        <v>0.05</v>
      </c>
      <c r="K78" s="8">
        <v>9038.3799999999992</v>
      </c>
      <c r="L78">
        <v>25759.38</v>
      </c>
      <c r="M78" s="8">
        <v>13211.82</v>
      </c>
      <c r="N78" s="8">
        <v>12547.56</v>
      </c>
      <c r="O78" t="s">
        <v>19</v>
      </c>
      <c r="P78" t="str">
        <f>UPPER(TRIM(SalesData[[#This Row],[Payment Mode]]))</f>
        <v>CASH</v>
      </c>
    </row>
    <row r="79" spans="1:16" x14ac:dyDescent="0.35">
      <c r="A79" s="4" t="s">
        <v>149</v>
      </c>
      <c r="B79" s="6">
        <v>45715</v>
      </c>
      <c r="C79" t="s">
        <v>59</v>
      </c>
      <c r="D79" t="str">
        <f>TRIM(SalesData[[#This Row],[Customer Name]])</f>
        <v>Rohan Deshmukh</v>
      </c>
      <c r="E79" t="s">
        <v>46</v>
      </c>
      <c r="F79" t="s">
        <v>23</v>
      </c>
      <c r="G79" t="s">
        <v>107</v>
      </c>
      <c r="H79" t="s">
        <v>36</v>
      </c>
      <c r="I79" s="10">
        <v>1</v>
      </c>
      <c r="J79" s="12">
        <v>0</v>
      </c>
      <c r="K79" s="8">
        <v>1740.51</v>
      </c>
      <c r="L79">
        <v>1740.51</v>
      </c>
      <c r="M79" s="8">
        <v>603.41</v>
      </c>
      <c r="N79" s="8">
        <v>1137.0999999999999</v>
      </c>
      <c r="O79" t="s">
        <v>48</v>
      </c>
      <c r="P79" t="str">
        <f>UPPER(TRIM(SalesData[[#This Row],[Payment Mode]]))</f>
        <v>CREDIT CARD</v>
      </c>
    </row>
    <row r="80" spans="1:16" x14ac:dyDescent="0.35">
      <c r="A80" s="4" t="s">
        <v>150</v>
      </c>
      <c r="B80" s="6">
        <v>45716</v>
      </c>
      <c r="C80" t="s">
        <v>116</v>
      </c>
      <c r="D80" t="str">
        <f>TRIM(SalesData[[#This Row],[Customer Name]])</f>
        <v>Sneha Kulkarni</v>
      </c>
      <c r="E80" t="s">
        <v>46</v>
      </c>
      <c r="F80" t="s">
        <v>23</v>
      </c>
      <c r="G80" t="s">
        <v>41</v>
      </c>
      <c r="H80" t="s">
        <v>42</v>
      </c>
      <c r="I80" s="10">
        <v>3</v>
      </c>
      <c r="J80" s="12">
        <v>0.1</v>
      </c>
      <c r="K80" s="8">
        <v>1819.11</v>
      </c>
      <c r="L80">
        <v>4911.6000000000004</v>
      </c>
      <c r="M80" s="8">
        <v>2056.14</v>
      </c>
      <c r="N80" s="8">
        <v>2855.46</v>
      </c>
      <c r="O80" t="s">
        <v>37</v>
      </c>
      <c r="P80" t="str">
        <f>UPPER(TRIM(SalesData[[#This Row],[Payment Mode]]))</f>
        <v>DEBIT CARD</v>
      </c>
    </row>
    <row r="81" spans="1:16" x14ac:dyDescent="0.35">
      <c r="A81" s="4" t="s">
        <v>151</v>
      </c>
      <c r="B81" s="6">
        <v>45716</v>
      </c>
      <c r="C81" t="s">
        <v>50</v>
      </c>
      <c r="D81" t="str">
        <f>TRIM(SalesData[[#This Row],[Customer Name]])</f>
        <v>Priya Patil</v>
      </c>
      <c r="E81" t="s">
        <v>83</v>
      </c>
      <c r="F81" t="s">
        <v>23</v>
      </c>
      <c r="G81" t="s">
        <v>17</v>
      </c>
      <c r="H81" t="s">
        <v>18</v>
      </c>
      <c r="I81" s="10">
        <v>1</v>
      </c>
      <c r="J81" s="12">
        <v>0.05</v>
      </c>
      <c r="K81" s="8">
        <v>12132.01</v>
      </c>
      <c r="L81">
        <v>11525.41</v>
      </c>
      <c r="M81" s="8">
        <v>6378.39</v>
      </c>
      <c r="N81" s="8">
        <v>5147.0200000000004</v>
      </c>
      <c r="O81" t="s">
        <v>26</v>
      </c>
      <c r="P81" t="str">
        <f>UPPER(TRIM(SalesData[[#This Row],[Payment Mode]]))</f>
        <v>NET BANKING</v>
      </c>
    </row>
    <row r="82" spans="1:16" x14ac:dyDescent="0.35">
      <c r="A82" s="4" t="s">
        <v>152</v>
      </c>
      <c r="B82" s="6">
        <v>45719</v>
      </c>
      <c r="C82" t="s">
        <v>50</v>
      </c>
      <c r="D82" t="str">
        <f>TRIM(SalesData[[#This Row],[Customer Name]])</f>
        <v>Priya Patil</v>
      </c>
      <c r="E82" t="s">
        <v>46</v>
      </c>
      <c r="F82" t="s">
        <v>23</v>
      </c>
      <c r="G82" t="s">
        <v>101</v>
      </c>
      <c r="H82" t="s">
        <v>18</v>
      </c>
      <c r="I82" s="10">
        <v>4</v>
      </c>
      <c r="J82" s="12">
        <v>0</v>
      </c>
      <c r="K82" s="8">
        <v>18855.12</v>
      </c>
      <c r="L82">
        <v>75420.479999999996</v>
      </c>
      <c r="M82" s="8">
        <v>31970.400000000001</v>
      </c>
      <c r="N82" s="8">
        <v>43450.080000000002</v>
      </c>
      <c r="O82" t="s">
        <v>37</v>
      </c>
      <c r="P82" t="str">
        <f>UPPER(TRIM(SalesData[[#This Row],[Payment Mode]]))</f>
        <v>DEBIT CARD</v>
      </c>
    </row>
    <row r="83" spans="1:16" x14ac:dyDescent="0.35">
      <c r="A83" s="4" t="s">
        <v>153</v>
      </c>
      <c r="B83" s="6">
        <v>45719</v>
      </c>
      <c r="C83" t="s">
        <v>15</v>
      </c>
      <c r="D83" t="str">
        <f>TRIM(SalesData[[#This Row],[Customer Name]])</f>
        <v>Isha Bhosale</v>
      </c>
      <c r="E83" t="s">
        <v>28</v>
      </c>
      <c r="F83" t="s">
        <v>23</v>
      </c>
      <c r="G83" t="s">
        <v>32</v>
      </c>
      <c r="H83" t="s">
        <v>18</v>
      </c>
      <c r="I83" s="10">
        <v>5</v>
      </c>
      <c r="J83" s="12">
        <v>0.05</v>
      </c>
      <c r="K83" s="8">
        <v>50638.83</v>
      </c>
      <c r="L83">
        <v>240534.44</v>
      </c>
      <c r="M83" s="8">
        <v>207432.3</v>
      </c>
      <c r="N83" s="8">
        <v>33102.14</v>
      </c>
      <c r="O83" t="s">
        <v>43</v>
      </c>
      <c r="P83" t="str">
        <f>UPPER(TRIM(SalesData[[#This Row],[Payment Mode]]))</f>
        <v>UPI</v>
      </c>
    </row>
    <row r="84" spans="1:16" x14ac:dyDescent="0.35">
      <c r="A84" s="4" t="s">
        <v>154</v>
      </c>
      <c r="B84" s="6">
        <v>45719</v>
      </c>
      <c r="C84" t="s">
        <v>64</v>
      </c>
      <c r="D84" t="str">
        <f>TRIM(SalesData[[#This Row],[Customer Name]])</f>
        <v>Neha Jadhav</v>
      </c>
      <c r="E84" t="s">
        <v>28</v>
      </c>
      <c r="F84" t="s">
        <v>23</v>
      </c>
      <c r="G84" t="s">
        <v>17</v>
      </c>
      <c r="H84" t="s">
        <v>18</v>
      </c>
      <c r="I84" s="10">
        <v>2</v>
      </c>
      <c r="J84" s="12">
        <v>0</v>
      </c>
      <c r="K84" s="8">
        <v>11932.63</v>
      </c>
      <c r="L84">
        <v>23865.26</v>
      </c>
      <c r="M84" s="8">
        <v>12936</v>
      </c>
      <c r="N84" s="8">
        <v>10929.26</v>
      </c>
      <c r="O84" t="s">
        <v>43</v>
      </c>
      <c r="P84" t="str">
        <f>UPPER(TRIM(SalesData[[#This Row],[Payment Mode]]))</f>
        <v>UPI</v>
      </c>
    </row>
    <row r="85" spans="1:16" x14ac:dyDescent="0.35">
      <c r="A85" s="4" t="s">
        <v>155</v>
      </c>
      <c r="B85" s="6">
        <v>45720</v>
      </c>
      <c r="C85" t="s">
        <v>85</v>
      </c>
      <c r="D85" t="str">
        <f>TRIM(SalesData[[#This Row],[Customer Name]])</f>
        <v>Amit Verma</v>
      </c>
      <c r="E85" t="s">
        <v>105</v>
      </c>
      <c r="F85" t="s">
        <v>106</v>
      </c>
      <c r="G85" t="s">
        <v>32</v>
      </c>
      <c r="H85" t="s">
        <v>18</v>
      </c>
      <c r="I85" s="10">
        <v>1</v>
      </c>
      <c r="J85" s="12">
        <v>0.15</v>
      </c>
      <c r="K85" s="8">
        <v>53415.67</v>
      </c>
      <c r="L85">
        <v>45403.32</v>
      </c>
      <c r="M85" s="8">
        <v>40734.61</v>
      </c>
      <c r="N85" s="8">
        <v>4668.71</v>
      </c>
      <c r="O85" t="s">
        <v>37</v>
      </c>
      <c r="P85" t="str">
        <f>UPPER(TRIM(SalesData[[#This Row],[Payment Mode]]))</f>
        <v>DEBIT CARD</v>
      </c>
    </row>
    <row r="86" spans="1:16" x14ac:dyDescent="0.35">
      <c r="A86" s="4" t="s">
        <v>156</v>
      </c>
      <c r="B86" s="6">
        <v>45720</v>
      </c>
      <c r="C86" t="s">
        <v>62</v>
      </c>
      <c r="D86" t="str">
        <f>TRIM(SalesData[[#This Row],[Customer Name]])</f>
        <v>Vivek More</v>
      </c>
      <c r="E86" t="s">
        <v>46</v>
      </c>
      <c r="F86" t="s">
        <v>23</v>
      </c>
      <c r="G86" t="s">
        <v>107</v>
      </c>
      <c r="H86" t="s">
        <v>36</v>
      </c>
      <c r="I86" s="10">
        <v>1</v>
      </c>
      <c r="J86" s="12">
        <v>0</v>
      </c>
      <c r="K86" s="8">
        <v>1828.41</v>
      </c>
      <c r="L86">
        <v>1828.41</v>
      </c>
      <c r="M86" s="8">
        <v>629.96</v>
      </c>
      <c r="N86" s="8">
        <v>1198.45</v>
      </c>
      <c r="O86" t="s">
        <v>43</v>
      </c>
      <c r="P86" t="str">
        <f>UPPER(TRIM(SalesData[[#This Row],[Payment Mode]]))</f>
        <v>UPI</v>
      </c>
    </row>
    <row r="87" spans="1:16" x14ac:dyDescent="0.35">
      <c r="A87" s="4" t="s">
        <v>157</v>
      </c>
      <c r="B87" s="6">
        <v>45720</v>
      </c>
      <c r="C87" t="s">
        <v>95</v>
      </c>
      <c r="D87" t="str">
        <f>TRIM(SalesData[[#This Row],[Customer Name]])</f>
        <v>Rahul Pawar</v>
      </c>
      <c r="E87" t="s">
        <v>31</v>
      </c>
      <c r="F87" t="s">
        <v>23</v>
      </c>
      <c r="G87" t="s">
        <v>24</v>
      </c>
      <c r="H87" t="s">
        <v>25</v>
      </c>
      <c r="I87" s="10">
        <v>3</v>
      </c>
      <c r="J87" s="12">
        <v>0.05</v>
      </c>
      <c r="K87" s="8">
        <v>8934.7900000000009</v>
      </c>
      <c r="L87">
        <v>25464.15</v>
      </c>
      <c r="M87" s="8">
        <v>12859.32</v>
      </c>
      <c r="N87" s="8">
        <v>12604.83</v>
      </c>
      <c r="O87" t="s">
        <v>43</v>
      </c>
      <c r="P87" t="str">
        <f>UPPER(TRIM(SalesData[[#This Row],[Payment Mode]]))</f>
        <v>UPI</v>
      </c>
    </row>
    <row r="88" spans="1:16" x14ac:dyDescent="0.35">
      <c r="A88" s="4" t="s">
        <v>158</v>
      </c>
      <c r="B88" s="6">
        <v>45723</v>
      </c>
      <c r="C88" t="s">
        <v>62</v>
      </c>
      <c r="D88" t="str">
        <f>TRIM(SalesData[[#This Row],[Customer Name]])</f>
        <v>Vivek More</v>
      </c>
      <c r="E88" t="s">
        <v>16</v>
      </c>
      <c r="F88" t="s">
        <v>16</v>
      </c>
      <c r="G88" t="s">
        <v>65</v>
      </c>
      <c r="H88" t="s">
        <v>18</v>
      </c>
      <c r="I88" s="10">
        <v>3</v>
      </c>
      <c r="J88" s="12">
        <v>0</v>
      </c>
      <c r="K88" s="8">
        <v>22533.17</v>
      </c>
      <c r="L88">
        <v>67599.509999999995</v>
      </c>
      <c r="M88" s="8">
        <v>43323.51</v>
      </c>
      <c r="N88" s="8">
        <v>24276</v>
      </c>
      <c r="O88" t="s">
        <v>26</v>
      </c>
      <c r="P88" t="str">
        <f>UPPER(TRIM(SalesData[[#This Row],[Payment Mode]]))</f>
        <v>NET BANKING</v>
      </c>
    </row>
    <row r="89" spans="1:16" x14ac:dyDescent="0.35">
      <c r="A89" s="4" t="s">
        <v>159</v>
      </c>
      <c r="B89" s="6">
        <v>45724</v>
      </c>
      <c r="C89" t="s">
        <v>21</v>
      </c>
      <c r="D89" t="str">
        <f>TRIM(SalesData[[#This Row],[Customer Name]])</f>
        <v>Aarav Sharma</v>
      </c>
      <c r="E89" t="s">
        <v>53</v>
      </c>
      <c r="F89" t="s">
        <v>54</v>
      </c>
      <c r="G89" t="s">
        <v>75</v>
      </c>
      <c r="H89" t="s">
        <v>18</v>
      </c>
      <c r="I89" s="10">
        <v>3</v>
      </c>
      <c r="J89" s="12">
        <v>0</v>
      </c>
      <c r="K89" s="8">
        <v>16791.439999999999</v>
      </c>
      <c r="L89">
        <v>50374.32</v>
      </c>
      <c r="M89" s="8">
        <v>25892.49</v>
      </c>
      <c r="N89" s="8">
        <v>24481.83</v>
      </c>
      <c r="O89" t="s">
        <v>19</v>
      </c>
      <c r="P89" t="str">
        <f>UPPER(TRIM(SalesData[[#This Row],[Payment Mode]]))</f>
        <v>CASH</v>
      </c>
    </row>
    <row r="90" spans="1:16" x14ac:dyDescent="0.35">
      <c r="A90" s="4" t="s">
        <v>160</v>
      </c>
      <c r="B90" s="6">
        <v>45725</v>
      </c>
      <c r="C90" t="s">
        <v>64</v>
      </c>
      <c r="D90" t="str">
        <f>TRIM(SalesData[[#This Row],[Customer Name]])</f>
        <v>Neha Jadhav</v>
      </c>
      <c r="E90" t="s">
        <v>31</v>
      </c>
      <c r="F90" t="s">
        <v>23</v>
      </c>
      <c r="G90" t="s">
        <v>17</v>
      </c>
      <c r="H90" t="s">
        <v>18</v>
      </c>
      <c r="I90" s="10">
        <v>5</v>
      </c>
      <c r="J90" s="12">
        <v>0.05</v>
      </c>
      <c r="K90" s="8">
        <v>12230.92</v>
      </c>
      <c r="L90">
        <v>58096.87</v>
      </c>
      <c r="M90" s="8">
        <v>34096.6</v>
      </c>
      <c r="N90" s="8">
        <v>24000.27</v>
      </c>
      <c r="O90" t="s">
        <v>48</v>
      </c>
      <c r="P90" t="str">
        <f>UPPER(TRIM(SalesData[[#This Row],[Payment Mode]]))</f>
        <v>CREDIT CARD</v>
      </c>
    </row>
    <row r="91" spans="1:16" x14ac:dyDescent="0.35">
      <c r="A91" s="4" t="s">
        <v>161</v>
      </c>
      <c r="B91" s="6">
        <v>45726</v>
      </c>
      <c r="C91" t="s">
        <v>50</v>
      </c>
      <c r="D91" t="str">
        <f>TRIM(SalesData[[#This Row],[Customer Name]])</f>
        <v>Priya Patil</v>
      </c>
      <c r="E91" t="s">
        <v>83</v>
      </c>
      <c r="F91" t="s">
        <v>23</v>
      </c>
      <c r="G91" t="s">
        <v>107</v>
      </c>
      <c r="H91" t="s">
        <v>36</v>
      </c>
      <c r="I91" s="10">
        <v>5</v>
      </c>
      <c r="J91" s="12">
        <v>0</v>
      </c>
      <c r="K91" s="8">
        <v>1876.79</v>
      </c>
      <c r="L91">
        <v>9383.9500000000007</v>
      </c>
      <c r="M91" s="8">
        <v>2997.65</v>
      </c>
      <c r="N91" s="8">
        <v>6386.3</v>
      </c>
      <c r="O91" t="s">
        <v>26</v>
      </c>
      <c r="P91" t="str">
        <f>UPPER(TRIM(SalesData[[#This Row],[Payment Mode]]))</f>
        <v>NET BANKING</v>
      </c>
    </row>
    <row r="92" spans="1:16" x14ac:dyDescent="0.35">
      <c r="A92" s="4" t="s">
        <v>162</v>
      </c>
      <c r="B92" s="6">
        <v>45726</v>
      </c>
      <c r="C92" t="s">
        <v>93</v>
      </c>
      <c r="D92" t="str">
        <f>TRIM(SalesData[[#This Row],[Customer Name]])</f>
        <v>Aditya Joshi</v>
      </c>
      <c r="E92" t="s">
        <v>86</v>
      </c>
      <c r="F92" t="s">
        <v>87</v>
      </c>
      <c r="G92" t="s">
        <v>101</v>
      </c>
      <c r="H92" t="s">
        <v>18</v>
      </c>
      <c r="I92" s="10">
        <v>5</v>
      </c>
      <c r="J92" s="12">
        <v>0.1</v>
      </c>
      <c r="K92" s="8">
        <v>17201.04</v>
      </c>
      <c r="L92">
        <v>77404.679999999993</v>
      </c>
      <c r="M92" s="8">
        <v>41410.9</v>
      </c>
      <c r="N92" s="8">
        <v>35993.78</v>
      </c>
      <c r="O92" t="s">
        <v>19</v>
      </c>
      <c r="P92" t="str">
        <f>UPPER(TRIM(SalesData[[#This Row],[Payment Mode]]))</f>
        <v>CASH</v>
      </c>
    </row>
    <row r="93" spans="1:16" x14ac:dyDescent="0.35">
      <c r="A93" s="4" t="s">
        <v>163</v>
      </c>
      <c r="B93" s="6">
        <v>45727</v>
      </c>
      <c r="C93" t="s">
        <v>89</v>
      </c>
      <c r="D93" t="str">
        <f>TRIM(SalesData[[#This Row],[Customer Name]])</f>
        <v>Kunal Thakur</v>
      </c>
      <c r="E93" t="s">
        <v>83</v>
      </c>
      <c r="F93" t="s">
        <v>23</v>
      </c>
      <c r="G93" t="s">
        <v>32</v>
      </c>
      <c r="H93" t="s">
        <v>18</v>
      </c>
      <c r="I93" s="10">
        <v>4</v>
      </c>
      <c r="J93" s="12">
        <v>0</v>
      </c>
      <c r="K93" s="8">
        <v>54120.01</v>
      </c>
      <c r="L93">
        <v>216480.04</v>
      </c>
      <c r="M93" s="8">
        <v>169543.72</v>
      </c>
      <c r="N93" s="8">
        <v>46936.32</v>
      </c>
      <c r="O93" t="s">
        <v>26</v>
      </c>
      <c r="P93" t="str">
        <f>UPPER(TRIM(SalesData[[#This Row],[Payment Mode]]))</f>
        <v>NET BANKING</v>
      </c>
    </row>
    <row r="94" spans="1:16" x14ac:dyDescent="0.35">
      <c r="A94" s="4" t="s">
        <v>164</v>
      </c>
      <c r="B94" s="6">
        <v>45727</v>
      </c>
      <c r="C94" t="s">
        <v>59</v>
      </c>
      <c r="D94" t="str">
        <f>TRIM(SalesData[[#This Row],[Customer Name]])</f>
        <v>Rohan Deshmukh</v>
      </c>
      <c r="E94" t="s">
        <v>46</v>
      </c>
      <c r="F94" t="s">
        <v>23</v>
      </c>
      <c r="G94" t="s">
        <v>107</v>
      </c>
      <c r="H94" t="s">
        <v>36</v>
      </c>
      <c r="I94" s="10">
        <v>4</v>
      </c>
      <c r="J94" s="12">
        <v>0</v>
      </c>
      <c r="K94" s="8">
        <v>1787.82</v>
      </c>
      <c r="L94">
        <v>7151.28</v>
      </c>
      <c r="M94" s="8">
        <v>2287.48</v>
      </c>
      <c r="N94" s="8">
        <v>4863.8</v>
      </c>
      <c r="O94" t="s">
        <v>26</v>
      </c>
      <c r="P94" t="str">
        <f>UPPER(TRIM(SalesData[[#This Row],[Payment Mode]]))</f>
        <v>NET BANKING</v>
      </c>
    </row>
    <row r="95" spans="1:16" x14ac:dyDescent="0.35">
      <c r="A95" s="4" t="s">
        <v>165</v>
      </c>
      <c r="B95" s="6">
        <v>45730</v>
      </c>
      <c r="C95" t="s">
        <v>56</v>
      </c>
      <c r="D95" t="str">
        <f>TRIM(SalesData[[#This Row],[Customer Name]])</f>
        <v>Pooja Shinde</v>
      </c>
      <c r="E95" t="s">
        <v>31</v>
      </c>
      <c r="F95" t="s">
        <v>23</v>
      </c>
      <c r="G95" t="s">
        <v>24</v>
      </c>
      <c r="H95" t="s">
        <v>25</v>
      </c>
      <c r="I95" s="10">
        <v>5</v>
      </c>
      <c r="J95" s="12">
        <v>0</v>
      </c>
      <c r="K95" s="8">
        <v>8627.09</v>
      </c>
      <c r="L95">
        <v>43135.45</v>
      </c>
      <c r="M95" s="8">
        <v>23386.95</v>
      </c>
      <c r="N95" s="8">
        <v>19748.5</v>
      </c>
      <c r="O95" t="s">
        <v>43</v>
      </c>
      <c r="P95" t="str">
        <f>UPPER(TRIM(SalesData[[#This Row],[Payment Mode]]))</f>
        <v>UPI</v>
      </c>
    </row>
    <row r="96" spans="1:16" x14ac:dyDescent="0.35">
      <c r="A96" s="4" t="s">
        <v>166</v>
      </c>
      <c r="B96" s="6">
        <v>45730</v>
      </c>
      <c r="C96" t="s">
        <v>45</v>
      </c>
      <c r="D96" t="str">
        <f>TRIM(SalesData[[#This Row],[Customer Name]])</f>
        <v>Nikhil Gupta</v>
      </c>
      <c r="E96" t="s">
        <v>16</v>
      </c>
      <c r="F96" t="s">
        <v>16</v>
      </c>
      <c r="G96" t="s">
        <v>41</v>
      </c>
      <c r="H96" t="s">
        <v>42</v>
      </c>
      <c r="I96" s="10">
        <v>4</v>
      </c>
      <c r="J96" s="12">
        <v>0</v>
      </c>
      <c r="K96" s="8">
        <v>1775.57</v>
      </c>
      <c r="L96">
        <v>7102.28</v>
      </c>
      <c r="M96" s="8">
        <v>2800.96</v>
      </c>
      <c r="N96" s="8">
        <v>4301.32</v>
      </c>
      <c r="O96" t="s">
        <v>43</v>
      </c>
      <c r="P96" t="str">
        <f>UPPER(TRIM(SalesData[[#This Row],[Payment Mode]]))</f>
        <v>UPI</v>
      </c>
    </row>
    <row r="97" spans="1:16" x14ac:dyDescent="0.35">
      <c r="A97" s="4" t="s">
        <v>167</v>
      </c>
      <c r="B97" s="6">
        <v>45732</v>
      </c>
      <c r="C97" t="s">
        <v>168</v>
      </c>
      <c r="D97" t="str">
        <f>TRIM(SalesData[[#This Row],[Customer Name]])</f>
        <v>Kavita Singh</v>
      </c>
      <c r="E97" t="s">
        <v>53</v>
      </c>
      <c r="F97" t="s">
        <v>54</v>
      </c>
      <c r="G97" t="s">
        <v>101</v>
      </c>
      <c r="H97" t="s">
        <v>18</v>
      </c>
      <c r="I97" s="10">
        <v>5</v>
      </c>
      <c r="J97" s="12">
        <v>0.05</v>
      </c>
      <c r="K97" s="8">
        <v>18319.560000000001</v>
      </c>
      <c r="L97">
        <v>87017.91</v>
      </c>
      <c r="M97" s="8">
        <v>39492.5</v>
      </c>
      <c r="N97" s="8">
        <v>47525.41</v>
      </c>
      <c r="O97" t="s">
        <v>26</v>
      </c>
      <c r="P97" t="str">
        <f>UPPER(TRIM(SalesData[[#This Row],[Payment Mode]]))</f>
        <v>NET BANKING</v>
      </c>
    </row>
    <row r="98" spans="1:16" x14ac:dyDescent="0.35">
      <c r="A98" s="4" t="s">
        <v>169</v>
      </c>
      <c r="B98" s="6">
        <v>45733</v>
      </c>
      <c r="C98" t="s">
        <v>95</v>
      </c>
      <c r="D98" t="str">
        <f>TRIM(SalesData[[#This Row],[Customer Name]])</f>
        <v>Rahul Pawar</v>
      </c>
      <c r="E98" t="s">
        <v>28</v>
      </c>
      <c r="F98" t="s">
        <v>23</v>
      </c>
      <c r="G98" t="s">
        <v>101</v>
      </c>
      <c r="H98" t="s">
        <v>18</v>
      </c>
      <c r="I98" s="10">
        <v>1</v>
      </c>
      <c r="J98" s="12">
        <v>0</v>
      </c>
      <c r="K98" s="8">
        <v>18080.080000000002</v>
      </c>
      <c r="L98">
        <v>18080.080000000002</v>
      </c>
      <c r="M98" s="8">
        <v>7604.61</v>
      </c>
      <c r="N98" s="8">
        <v>10475.469999999999</v>
      </c>
      <c r="O98" t="s">
        <v>26</v>
      </c>
      <c r="P98" t="str">
        <f>UPPER(TRIM(SalesData[[#This Row],[Payment Mode]]))</f>
        <v>NET BANKING</v>
      </c>
    </row>
    <row r="99" spans="1:16" x14ac:dyDescent="0.35">
      <c r="A99" s="4" t="s">
        <v>170</v>
      </c>
      <c r="B99" s="6">
        <v>45733</v>
      </c>
      <c r="C99" t="s">
        <v>59</v>
      </c>
      <c r="D99" t="str">
        <f>TRIM(SalesData[[#This Row],[Customer Name]])</f>
        <v>Rohan Deshmukh</v>
      </c>
      <c r="E99" t="s">
        <v>73</v>
      </c>
      <c r="F99" t="s">
        <v>74</v>
      </c>
      <c r="G99" t="s">
        <v>107</v>
      </c>
      <c r="H99" t="s">
        <v>36</v>
      </c>
      <c r="I99" s="10">
        <v>4</v>
      </c>
      <c r="J99" s="12">
        <v>0.15</v>
      </c>
      <c r="K99" s="8">
        <v>1732.37</v>
      </c>
      <c r="L99">
        <v>5890.06</v>
      </c>
      <c r="M99" s="8">
        <v>2455.4</v>
      </c>
      <c r="N99" s="8">
        <v>3434.66</v>
      </c>
      <c r="O99" t="s">
        <v>37</v>
      </c>
      <c r="P99" t="str">
        <f>UPPER(TRIM(SalesData[[#This Row],[Payment Mode]]))</f>
        <v>DEBIT CARD</v>
      </c>
    </row>
    <row r="100" spans="1:16" x14ac:dyDescent="0.35">
      <c r="A100" s="4" t="s">
        <v>171</v>
      </c>
      <c r="B100" s="6">
        <v>45733</v>
      </c>
      <c r="C100" t="s">
        <v>34</v>
      </c>
      <c r="D100" t="str">
        <f>TRIM(SalesData[[#This Row],[Customer Name]])</f>
        <v>Meera Desai</v>
      </c>
      <c r="E100" t="s">
        <v>46</v>
      </c>
      <c r="F100" t="s">
        <v>23</v>
      </c>
      <c r="G100" t="s">
        <v>65</v>
      </c>
      <c r="H100" t="s">
        <v>18</v>
      </c>
      <c r="I100" s="10">
        <v>1</v>
      </c>
      <c r="J100" s="12">
        <v>0</v>
      </c>
      <c r="K100" s="8">
        <v>22427.79</v>
      </c>
      <c r="L100">
        <v>22427.79</v>
      </c>
      <c r="M100" s="8">
        <v>13415.09</v>
      </c>
      <c r="N100" s="8">
        <v>9012.7000000000007</v>
      </c>
      <c r="O100" t="s">
        <v>43</v>
      </c>
      <c r="P100" t="str">
        <f>UPPER(TRIM(SalesData[[#This Row],[Payment Mode]]))</f>
        <v>UPI</v>
      </c>
    </row>
    <row r="101" spans="1:16" x14ac:dyDescent="0.35">
      <c r="A101" s="4" t="s">
        <v>172</v>
      </c>
      <c r="B101" s="6">
        <v>45733</v>
      </c>
      <c r="C101" t="s">
        <v>62</v>
      </c>
      <c r="D101" t="str">
        <f>TRIM(SalesData[[#This Row],[Customer Name]])</f>
        <v>Vivek More</v>
      </c>
      <c r="E101" t="s">
        <v>73</v>
      </c>
      <c r="F101" t="s">
        <v>74</v>
      </c>
      <c r="G101" t="s">
        <v>35</v>
      </c>
      <c r="H101" t="s">
        <v>36</v>
      </c>
      <c r="I101" s="10">
        <v>5</v>
      </c>
      <c r="J101" s="12">
        <v>0.1</v>
      </c>
      <c r="K101" s="8">
        <v>1186.7</v>
      </c>
      <c r="L101">
        <v>5340.15</v>
      </c>
      <c r="M101" s="8">
        <v>1664.4</v>
      </c>
      <c r="N101" s="8">
        <v>3675.75</v>
      </c>
      <c r="O101" t="s">
        <v>19</v>
      </c>
      <c r="P101" t="str">
        <f>UPPER(TRIM(SalesData[[#This Row],[Payment Mode]]))</f>
        <v>CASH</v>
      </c>
    </row>
    <row r="102" spans="1:16" x14ac:dyDescent="0.35">
      <c r="A102" s="4" t="s">
        <v>173</v>
      </c>
      <c r="B102" s="6">
        <v>45733</v>
      </c>
      <c r="C102" t="s">
        <v>45</v>
      </c>
      <c r="D102" t="str">
        <f>TRIM(SalesData[[#This Row],[Customer Name]])</f>
        <v>Nikhil Gupta</v>
      </c>
      <c r="E102" t="s">
        <v>46</v>
      </c>
      <c r="F102" t="s">
        <v>23</v>
      </c>
      <c r="G102" t="s">
        <v>65</v>
      </c>
      <c r="H102" t="s">
        <v>18</v>
      </c>
      <c r="I102" s="10">
        <v>2</v>
      </c>
      <c r="J102" s="12">
        <v>0.05</v>
      </c>
      <c r="K102" s="8">
        <v>21805.88</v>
      </c>
      <c r="L102">
        <v>41431.17</v>
      </c>
      <c r="M102" s="8">
        <v>28422.720000000001</v>
      </c>
      <c r="N102" s="8">
        <v>13008.45</v>
      </c>
      <c r="O102" t="s">
        <v>19</v>
      </c>
      <c r="P102" t="str">
        <f>UPPER(TRIM(SalesData[[#This Row],[Payment Mode]]))</f>
        <v>CASH</v>
      </c>
    </row>
    <row r="103" spans="1:16" x14ac:dyDescent="0.35">
      <c r="A103" s="4" t="s">
        <v>174</v>
      </c>
      <c r="B103" s="6">
        <v>45733</v>
      </c>
      <c r="C103" t="s">
        <v>34</v>
      </c>
      <c r="D103" t="str">
        <f>TRIM(SalesData[[#This Row],[Customer Name]])</f>
        <v>Meera Desai</v>
      </c>
      <c r="E103" t="s">
        <v>105</v>
      </c>
      <c r="F103" t="s">
        <v>106</v>
      </c>
      <c r="G103" t="s">
        <v>47</v>
      </c>
      <c r="H103" t="s">
        <v>25</v>
      </c>
      <c r="I103" s="10">
        <v>2</v>
      </c>
      <c r="J103" s="12">
        <v>0.1</v>
      </c>
      <c r="K103" s="8">
        <v>5737.09</v>
      </c>
      <c r="L103">
        <v>10326.76</v>
      </c>
      <c r="M103" s="8">
        <v>4796.18</v>
      </c>
      <c r="N103" s="8">
        <v>5530.58</v>
      </c>
      <c r="O103" t="s">
        <v>26</v>
      </c>
      <c r="P103" t="str">
        <f>UPPER(TRIM(SalesData[[#This Row],[Payment Mode]]))</f>
        <v>NET BANKING</v>
      </c>
    </row>
    <row r="104" spans="1:16" x14ac:dyDescent="0.35">
      <c r="A104" s="4" t="s">
        <v>175</v>
      </c>
      <c r="B104" s="6">
        <v>45734</v>
      </c>
      <c r="C104" t="s">
        <v>15</v>
      </c>
      <c r="D104" t="str">
        <f>TRIM(SalesData[[#This Row],[Customer Name]])</f>
        <v>Isha Bhosale</v>
      </c>
      <c r="E104" t="s">
        <v>28</v>
      </c>
      <c r="F104" t="s">
        <v>23</v>
      </c>
      <c r="G104" t="s">
        <v>47</v>
      </c>
      <c r="H104" t="s">
        <v>25</v>
      </c>
      <c r="I104" s="10">
        <v>1</v>
      </c>
      <c r="J104" s="12">
        <v>0.05</v>
      </c>
      <c r="K104" s="8">
        <v>5752.72</v>
      </c>
      <c r="L104">
        <v>5465.08</v>
      </c>
      <c r="M104" s="8">
        <v>2462.66</v>
      </c>
      <c r="N104" s="8">
        <v>3002.42</v>
      </c>
      <c r="O104" t="s">
        <v>48</v>
      </c>
      <c r="P104" t="str">
        <f>UPPER(TRIM(SalesData[[#This Row],[Payment Mode]]))</f>
        <v>CREDIT CARD</v>
      </c>
    </row>
    <row r="105" spans="1:16" x14ac:dyDescent="0.35">
      <c r="A105" s="4" t="s">
        <v>176</v>
      </c>
      <c r="B105" s="6">
        <v>45736</v>
      </c>
      <c r="C105" t="s">
        <v>39</v>
      </c>
      <c r="D105" t="str">
        <f>TRIM(SalesData[[#This Row],[Customer Name]])</f>
        <v>Akash Wagh</v>
      </c>
      <c r="E105" t="s">
        <v>28</v>
      </c>
      <c r="F105" t="s">
        <v>23</v>
      </c>
      <c r="G105" t="s">
        <v>47</v>
      </c>
      <c r="H105" t="s">
        <v>25</v>
      </c>
      <c r="I105" s="10">
        <v>3</v>
      </c>
      <c r="J105" s="12">
        <v>0.05</v>
      </c>
      <c r="K105" s="8">
        <v>5931.81</v>
      </c>
      <c r="L105">
        <v>16905.66</v>
      </c>
      <c r="M105" s="8">
        <v>7462.59</v>
      </c>
      <c r="N105" s="8">
        <v>9443.07</v>
      </c>
      <c r="O105" t="s">
        <v>19</v>
      </c>
      <c r="P105" t="str">
        <f>UPPER(TRIM(SalesData[[#This Row],[Payment Mode]]))</f>
        <v>CASH</v>
      </c>
    </row>
    <row r="106" spans="1:16" x14ac:dyDescent="0.35">
      <c r="A106" s="4" t="s">
        <v>177</v>
      </c>
      <c r="B106" s="6">
        <v>45737</v>
      </c>
      <c r="C106" t="s">
        <v>85</v>
      </c>
      <c r="D106" t="str">
        <f>TRIM(SalesData[[#This Row],[Customer Name]])</f>
        <v>Amit Verma</v>
      </c>
      <c r="E106" t="s">
        <v>40</v>
      </c>
      <c r="F106" t="s">
        <v>23</v>
      </c>
      <c r="G106" t="s">
        <v>77</v>
      </c>
      <c r="H106" t="s">
        <v>25</v>
      </c>
      <c r="I106" s="10">
        <v>1</v>
      </c>
      <c r="J106" s="12">
        <v>0</v>
      </c>
      <c r="K106" s="8">
        <v>7847.42</v>
      </c>
      <c r="L106">
        <v>7847.42</v>
      </c>
      <c r="M106" s="8">
        <v>3329.25</v>
      </c>
      <c r="N106" s="8">
        <v>4518.17</v>
      </c>
      <c r="O106" t="s">
        <v>19</v>
      </c>
      <c r="P106" t="str">
        <f>UPPER(TRIM(SalesData[[#This Row],[Payment Mode]]))</f>
        <v>CASH</v>
      </c>
    </row>
    <row r="107" spans="1:16" x14ac:dyDescent="0.35">
      <c r="A107" s="4" t="s">
        <v>178</v>
      </c>
      <c r="B107" s="6">
        <v>45738</v>
      </c>
      <c r="C107" t="s">
        <v>67</v>
      </c>
      <c r="D107" t="str">
        <f>TRIM(SalesData[[#This Row],[Customer Name]])</f>
        <v>Anjali Chavan</v>
      </c>
      <c r="E107" t="s">
        <v>105</v>
      </c>
      <c r="F107" t="s">
        <v>106</v>
      </c>
      <c r="G107" t="s">
        <v>65</v>
      </c>
      <c r="H107" t="s">
        <v>18</v>
      </c>
      <c r="I107" s="10">
        <v>5</v>
      </c>
      <c r="J107" s="12">
        <v>0</v>
      </c>
      <c r="K107" s="8">
        <v>22986.6</v>
      </c>
      <c r="L107">
        <v>114933</v>
      </c>
      <c r="M107" s="8">
        <v>71845.25</v>
      </c>
      <c r="N107" s="8">
        <v>43087.75</v>
      </c>
      <c r="O107" t="s">
        <v>37</v>
      </c>
      <c r="P107" t="str">
        <f>UPPER(TRIM(SalesData[[#This Row],[Payment Mode]]))</f>
        <v>DEBIT CARD</v>
      </c>
    </row>
    <row r="108" spans="1:16" x14ac:dyDescent="0.35">
      <c r="A108" s="4" t="s">
        <v>179</v>
      </c>
      <c r="B108" s="6">
        <v>45738</v>
      </c>
      <c r="C108" t="s">
        <v>50</v>
      </c>
      <c r="D108" t="str">
        <f>TRIM(SalesData[[#This Row],[Customer Name]])</f>
        <v>Priya Patil</v>
      </c>
      <c r="E108" t="s">
        <v>73</v>
      </c>
      <c r="F108" t="s">
        <v>74</v>
      </c>
      <c r="G108" t="s">
        <v>35</v>
      </c>
      <c r="H108" t="s">
        <v>36</v>
      </c>
      <c r="I108" s="10">
        <v>1</v>
      </c>
      <c r="J108" s="12">
        <v>0</v>
      </c>
      <c r="K108" s="8">
        <v>1155.02</v>
      </c>
      <c r="L108">
        <v>1155.02</v>
      </c>
      <c r="M108" s="8">
        <v>362.27</v>
      </c>
      <c r="N108" s="8">
        <v>792.75</v>
      </c>
      <c r="O108" t="s">
        <v>37</v>
      </c>
      <c r="P108" t="str">
        <f>UPPER(TRIM(SalesData[[#This Row],[Payment Mode]]))</f>
        <v>DEBIT CARD</v>
      </c>
    </row>
    <row r="109" spans="1:16" x14ac:dyDescent="0.35">
      <c r="A109" s="4" t="s">
        <v>180</v>
      </c>
      <c r="B109" s="6">
        <v>45738</v>
      </c>
      <c r="C109" t="s">
        <v>39</v>
      </c>
      <c r="D109" t="str">
        <f>TRIM(SalesData[[#This Row],[Customer Name]])</f>
        <v>Akash Wagh</v>
      </c>
      <c r="E109" t="s">
        <v>28</v>
      </c>
      <c r="F109" t="s">
        <v>23</v>
      </c>
      <c r="G109" t="s">
        <v>60</v>
      </c>
      <c r="H109" t="s">
        <v>36</v>
      </c>
      <c r="I109" s="10">
        <v>4</v>
      </c>
      <c r="J109" s="12">
        <v>0</v>
      </c>
      <c r="K109" s="8">
        <v>3499.04</v>
      </c>
      <c r="L109">
        <v>13996.16</v>
      </c>
      <c r="M109" s="8">
        <v>4704.4399999999996</v>
      </c>
      <c r="N109" s="8">
        <v>9291.7199999999993</v>
      </c>
      <c r="O109" t="s">
        <v>48</v>
      </c>
      <c r="P109" t="str">
        <f>UPPER(TRIM(SalesData[[#This Row],[Payment Mode]]))</f>
        <v>CREDIT CARD</v>
      </c>
    </row>
    <row r="110" spans="1:16" x14ac:dyDescent="0.35">
      <c r="A110" s="4" t="s">
        <v>181</v>
      </c>
      <c r="B110" s="6">
        <v>45738</v>
      </c>
      <c r="C110" t="s">
        <v>72</v>
      </c>
      <c r="D110" t="str">
        <f>TRIM(SalesData[[#This Row],[Customer Name]])</f>
        <v>Riya Shah</v>
      </c>
      <c r="E110" t="s">
        <v>40</v>
      </c>
      <c r="F110" t="s">
        <v>23</v>
      </c>
      <c r="G110" t="s">
        <v>107</v>
      </c>
      <c r="H110" t="s">
        <v>36</v>
      </c>
      <c r="I110" s="10">
        <v>2</v>
      </c>
      <c r="J110" s="12">
        <v>0.05</v>
      </c>
      <c r="K110" s="8">
        <v>1883.18</v>
      </c>
      <c r="L110">
        <v>3578.04</v>
      </c>
      <c r="M110" s="8">
        <v>1153.1400000000001</v>
      </c>
      <c r="N110" s="8">
        <v>2424.9</v>
      </c>
      <c r="O110" t="s">
        <v>26</v>
      </c>
      <c r="P110" t="str">
        <f>UPPER(TRIM(SalesData[[#This Row],[Payment Mode]]))</f>
        <v>NET BANKING</v>
      </c>
    </row>
    <row r="111" spans="1:16" x14ac:dyDescent="0.35">
      <c r="A111" s="4" t="s">
        <v>182</v>
      </c>
      <c r="B111" s="6">
        <v>45740</v>
      </c>
      <c r="C111" t="s">
        <v>39</v>
      </c>
      <c r="D111" t="str">
        <f>TRIM(SalesData[[#This Row],[Customer Name]])</f>
        <v>Akash Wagh</v>
      </c>
      <c r="E111" t="s">
        <v>86</v>
      </c>
      <c r="F111" t="s">
        <v>87</v>
      </c>
      <c r="G111" t="s">
        <v>107</v>
      </c>
      <c r="H111" t="s">
        <v>36</v>
      </c>
      <c r="I111" s="10">
        <v>3</v>
      </c>
      <c r="J111" s="12">
        <v>0.05</v>
      </c>
      <c r="K111" s="8">
        <v>1848.42</v>
      </c>
      <c r="L111">
        <v>5268</v>
      </c>
      <c r="M111" s="8">
        <v>1880.07</v>
      </c>
      <c r="N111" s="8">
        <v>3387.93</v>
      </c>
      <c r="O111" t="s">
        <v>26</v>
      </c>
      <c r="P111" t="str">
        <f>UPPER(TRIM(SalesData[[#This Row],[Payment Mode]]))</f>
        <v>NET BANKING</v>
      </c>
    </row>
    <row r="112" spans="1:16" x14ac:dyDescent="0.35">
      <c r="A112" s="4" t="s">
        <v>183</v>
      </c>
      <c r="B112" s="6">
        <v>45741</v>
      </c>
      <c r="C112" t="s">
        <v>30</v>
      </c>
      <c r="D112" t="str">
        <f>TRIM(SalesData[[#This Row],[Customer Name]])</f>
        <v>Swati Kale</v>
      </c>
      <c r="E112" t="s">
        <v>53</v>
      </c>
      <c r="F112" t="s">
        <v>54</v>
      </c>
      <c r="G112" t="s">
        <v>47</v>
      </c>
      <c r="H112" t="s">
        <v>25</v>
      </c>
      <c r="I112" s="10">
        <v>2</v>
      </c>
      <c r="J112" s="12">
        <v>0.05</v>
      </c>
      <c r="K112" s="8">
        <v>6170.05</v>
      </c>
      <c r="L112">
        <v>11723.1</v>
      </c>
      <c r="M112" s="8">
        <v>5056.12</v>
      </c>
      <c r="N112" s="8">
        <v>6666.98</v>
      </c>
      <c r="O112" t="s">
        <v>19</v>
      </c>
      <c r="P112" t="str">
        <f>UPPER(TRIM(SalesData[[#This Row],[Payment Mode]]))</f>
        <v>CASH</v>
      </c>
    </row>
    <row r="113" spans="1:16" x14ac:dyDescent="0.35">
      <c r="A113" s="4" t="s">
        <v>184</v>
      </c>
      <c r="B113" s="6">
        <v>45741</v>
      </c>
      <c r="C113" t="s">
        <v>64</v>
      </c>
      <c r="D113" t="str">
        <f>TRIM(SalesData[[#This Row],[Customer Name]])</f>
        <v>Neha Jadhav</v>
      </c>
      <c r="E113" t="s">
        <v>40</v>
      </c>
      <c r="F113" t="s">
        <v>23</v>
      </c>
      <c r="G113" t="s">
        <v>75</v>
      </c>
      <c r="H113" t="s">
        <v>18</v>
      </c>
      <c r="I113" s="10">
        <v>1</v>
      </c>
      <c r="J113" s="12">
        <v>0.15</v>
      </c>
      <c r="K113" s="8">
        <v>15250.08</v>
      </c>
      <c r="L113">
        <v>12962.57</v>
      </c>
      <c r="M113" s="8">
        <v>9208.14</v>
      </c>
      <c r="N113" s="8">
        <v>3754.43</v>
      </c>
      <c r="O113" t="s">
        <v>37</v>
      </c>
      <c r="P113" t="str">
        <f>UPPER(TRIM(SalesData[[#This Row],[Payment Mode]]))</f>
        <v>DEBIT CARD</v>
      </c>
    </row>
    <row r="114" spans="1:16" x14ac:dyDescent="0.35">
      <c r="A114" s="4" t="s">
        <v>185</v>
      </c>
      <c r="B114" s="6">
        <v>45741</v>
      </c>
      <c r="C114" t="s">
        <v>72</v>
      </c>
      <c r="D114" t="str">
        <f>TRIM(SalesData[[#This Row],[Customer Name]])</f>
        <v>Riya Shah</v>
      </c>
      <c r="E114" t="s">
        <v>16</v>
      </c>
      <c r="F114" t="s">
        <v>16</v>
      </c>
      <c r="G114" t="s">
        <v>17</v>
      </c>
      <c r="H114" t="s">
        <v>18</v>
      </c>
      <c r="I114" s="10">
        <v>4</v>
      </c>
      <c r="J114" s="12">
        <v>0</v>
      </c>
      <c r="K114" s="8">
        <v>12168.74</v>
      </c>
      <c r="L114">
        <v>48674.96</v>
      </c>
      <c r="M114" s="8">
        <v>26433.16</v>
      </c>
      <c r="N114" s="8">
        <v>22241.8</v>
      </c>
      <c r="O114" t="s">
        <v>26</v>
      </c>
      <c r="P114" t="str">
        <f>UPPER(TRIM(SalesData[[#This Row],[Payment Mode]]))</f>
        <v>NET BANKING</v>
      </c>
    </row>
    <row r="115" spans="1:16" x14ac:dyDescent="0.35">
      <c r="A115" s="4" t="s">
        <v>186</v>
      </c>
      <c r="B115" s="6">
        <v>45745</v>
      </c>
      <c r="C115" t="s">
        <v>62</v>
      </c>
      <c r="D115" t="str">
        <f>TRIM(SalesData[[#This Row],[Customer Name]])</f>
        <v>Vivek More</v>
      </c>
      <c r="E115" t="s">
        <v>31</v>
      </c>
      <c r="F115" t="s">
        <v>23</v>
      </c>
      <c r="G115" t="s">
        <v>41</v>
      </c>
      <c r="H115" t="s">
        <v>42</v>
      </c>
      <c r="I115" s="10">
        <v>1</v>
      </c>
      <c r="J115" s="12">
        <v>0.15</v>
      </c>
      <c r="K115" s="8">
        <v>1873.41</v>
      </c>
      <c r="L115">
        <v>1592.4</v>
      </c>
      <c r="M115" s="8">
        <v>715.7</v>
      </c>
      <c r="N115" s="8">
        <v>876.7</v>
      </c>
      <c r="O115" t="s">
        <v>43</v>
      </c>
      <c r="P115" t="str">
        <f>UPPER(TRIM(SalesData[[#This Row],[Payment Mode]]))</f>
        <v>UPI</v>
      </c>
    </row>
    <row r="116" spans="1:16" x14ac:dyDescent="0.35">
      <c r="A116" s="4" t="s">
        <v>187</v>
      </c>
      <c r="B116" s="6">
        <v>45745</v>
      </c>
      <c r="C116" t="s">
        <v>62</v>
      </c>
      <c r="D116" t="str">
        <f>TRIM(SalesData[[#This Row],[Customer Name]])</f>
        <v>Vivek More</v>
      </c>
      <c r="E116" t="s">
        <v>53</v>
      </c>
      <c r="F116" t="s">
        <v>54</v>
      </c>
      <c r="G116" t="s">
        <v>24</v>
      </c>
      <c r="H116" t="s">
        <v>25</v>
      </c>
      <c r="I116" s="10">
        <v>5</v>
      </c>
      <c r="J116" s="12">
        <v>0.15</v>
      </c>
      <c r="K116" s="8">
        <v>9165.11</v>
      </c>
      <c r="L116">
        <v>38951.72</v>
      </c>
      <c r="M116" s="8">
        <v>22219.75</v>
      </c>
      <c r="N116" s="8">
        <v>16731.97</v>
      </c>
      <c r="O116" t="s">
        <v>37</v>
      </c>
      <c r="P116" t="str">
        <f>UPPER(TRIM(SalesData[[#This Row],[Payment Mode]]))</f>
        <v>DEBIT CARD</v>
      </c>
    </row>
    <row r="117" spans="1:16" x14ac:dyDescent="0.35">
      <c r="A117" s="4" t="s">
        <v>188</v>
      </c>
      <c r="B117" s="6">
        <v>45746</v>
      </c>
      <c r="C117" t="s">
        <v>72</v>
      </c>
      <c r="D117" t="str">
        <f>TRIM(SalesData[[#This Row],[Customer Name]])</f>
        <v>Riya Shah</v>
      </c>
      <c r="E117" t="s">
        <v>86</v>
      </c>
      <c r="F117" t="s">
        <v>87</v>
      </c>
      <c r="G117" t="s">
        <v>75</v>
      </c>
      <c r="H117" t="s">
        <v>18</v>
      </c>
      <c r="I117" s="10">
        <v>3</v>
      </c>
      <c r="J117" s="12">
        <v>0.05</v>
      </c>
      <c r="K117" s="8">
        <v>16652.59</v>
      </c>
      <c r="L117">
        <v>47459.88</v>
      </c>
      <c r="M117" s="8">
        <v>26503.74</v>
      </c>
      <c r="N117" s="8">
        <v>20956.14</v>
      </c>
      <c r="O117" t="s">
        <v>37</v>
      </c>
      <c r="P117" t="str">
        <f>UPPER(TRIM(SalesData[[#This Row],[Payment Mode]]))</f>
        <v>DEBIT CARD</v>
      </c>
    </row>
    <row r="118" spans="1:16" x14ac:dyDescent="0.35">
      <c r="A118" s="4" t="s">
        <v>189</v>
      </c>
      <c r="B118" s="6">
        <v>45747</v>
      </c>
      <c r="C118" t="s">
        <v>80</v>
      </c>
      <c r="D118" t="str">
        <f>TRIM(SalesData[[#This Row],[Customer Name]])</f>
        <v>Sagar Mane</v>
      </c>
      <c r="E118" t="s">
        <v>105</v>
      </c>
      <c r="F118" t="s">
        <v>106</v>
      </c>
      <c r="G118" t="s">
        <v>101</v>
      </c>
      <c r="H118" t="s">
        <v>18</v>
      </c>
      <c r="I118" s="10">
        <v>4</v>
      </c>
      <c r="J118" s="12">
        <v>0.05</v>
      </c>
      <c r="K118" s="8">
        <v>18334.259999999998</v>
      </c>
      <c r="L118">
        <v>69670.19</v>
      </c>
      <c r="M118" s="8">
        <v>33312.68</v>
      </c>
      <c r="N118" s="8">
        <v>36357.51</v>
      </c>
      <c r="O118" t="s">
        <v>26</v>
      </c>
      <c r="P118" t="str">
        <f>UPPER(TRIM(SalesData[[#This Row],[Payment Mode]]))</f>
        <v>NET BANKING</v>
      </c>
    </row>
    <row r="119" spans="1:16" x14ac:dyDescent="0.35">
      <c r="A119" s="4" t="s">
        <v>190</v>
      </c>
      <c r="B119" s="6">
        <v>45750</v>
      </c>
      <c r="C119" t="s">
        <v>30</v>
      </c>
      <c r="D119" t="str">
        <f>TRIM(SalesData[[#This Row],[Customer Name]])</f>
        <v>Swati Kale</v>
      </c>
      <c r="E119" t="s">
        <v>46</v>
      </c>
      <c r="F119" t="s">
        <v>23</v>
      </c>
      <c r="G119" t="s">
        <v>77</v>
      </c>
      <c r="H119" t="s">
        <v>25</v>
      </c>
      <c r="I119" s="10">
        <v>2</v>
      </c>
      <c r="J119" s="12">
        <v>0</v>
      </c>
      <c r="K119" s="8">
        <v>7500.08</v>
      </c>
      <c r="L119">
        <v>15000.16</v>
      </c>
      <c r="M119" s="8">
        <v>6938.38</v>
      </c>
      <c r="N119" s="8">
        <v>8061.78</v>
      </c>
      <c r="O119" t="s">
        <v>26</v>
      </c>
      <c r="P119" t="str">
        <f>UPPER(TRIM(SalesData[[#This Row],[Payment Mode]]))</f>
        <v>NET BANKING</v>
      </c>
    </row>
    <row r="120" spans="1:16" x14ac:dyDescent="0.35">
      <c r="A120" s="4" t="s">
        <v>191</v>
      </c>
      <c r="B120" s="6">
        <v>45750</v>
      </c>
      <c r="C120" t="s">
        <v>80</v>
      </c>
      <c r="D120" t="str">
        <f>TRIM(SalesData[[#This Row],[Customer Name]])</f>
        <v>Sagar Mane</v>
      </c>
      <c r="E120" t="s">
        <v>73</v>
      </c>
      <c r="F120" t="s">
        <v>74</v>
      </c>
      <c r="G120" t="s">
        <v>47</v>
      </c>
      <c r="H120" t="s">
        <v>25</v>
      </c>
      <c r="I120" s="10">
        <v>2</v>
      </c>
      <c r="J120" s="12">
        <v>0.1</v>
      </c>
      <c r="K120" s="8">
        <v>5843.31</v>
      </c>
      <c r="L120">
        <v>10517.96</v>
      </c>
      <c r="M120" s="8">
        <v>4984.82</v>
      </c>
      <c r="N120" s="8">
        <v>5533.14</v>
      </c>
      <c r="O120" t="s">
        <v>43</v>
      </c>
      <c r="P120" t="str">
        <f>UPPER(TRIM(SalesData[[#This Row],[Payment Mode]]))</f>
        <v>UPI</v>
      </c>
    </row>
    <row r="121" spans="1:16" x14ac:dyDescent="0.35">
      <c r="A121" s="4" t="s">
        <v>192</v>
      </c>
      <c r="B121" s="6">
        <v>45751</v>
      </c>
      <c r="C121" t="s">
        <v>59</v>
      </c>
      <c r="D121" t="str">
        <f>TRIM(SalesData[[#This Row],[Customer Name]])</f>
        <v>Rohan Deshmukh</v>
      </c>
      <c r="E121" t="s">
        <v>40</v>
      </c>
      <c r="F121" t="s">
        <v>23</v>
      </c>
      <c r="G121" t="s">
        <v>32</v>
      </c>
      <c r="H121" t="s">
        <v>18</v>
      </c>
      <c r="I121" s="10">
        <v>1</v>
      </c>
      <c r="J121" s="12">
        <v>0.1</v>
      </c>
      <c r="K121" s="8">
        <v>51332.97</v>
      </c>
      <c r="L121">
        <v>46199.67</v>
      </c>
      <c r="M121" s="8">
        <v>41548.32</v>
      </c>
      <c r="N121" s="8">
        <v>4651.3500000000004</v>
      </c>
      <c r="O121" t="s">
        <v>37</v>
      </c>
      <c r="P121" t="str">
        <f>UPPER(TRIM(SalesData[[#This Row],[Payment Mode]]))</f>
        <v>DEBIT CARD</v>
      </c>
    </row>
    <row r="122" spans="1:16" x14ac:dyDescent="0.35">
      <c r="A122" s="4" t="s">
        <v>193</v>
      </c>
      <c r="B122" s="6">
        <v>45753</v>
      </c>
      <c r="C122" t="s">
        <v>34</v>
      </c>
      <c r="D122" t="str">
        <f>TRIM(SalesData[[#This Row],[Customer Name]])</f>
        <v>Meera Desai</v>
      </c>
      <c r="E122" t="s">
        <v>31</v>
      </c>
      <c r="F122" t="s">
        <v>23</v>
      </c>
      <c r="G122" t="s">
        <v>107</v>
      </c>
      <c r="H122" t="s">
        <v>36</v>
      </c>
      <c r="I122" s="10">
        <v>3</v>
      </c>
      <c r="J122" s="12">
        <v>0.1</v>
      </c>
      <c r="K122" s="8">
        <v>1810.21</v>
      </c>
      <c r="L122">
        <v>4887.57</v>
      </c>
      <c r="M122" s="8">
        <v>1839.75</v>
      </c>
      <c r="N122" s="8">
        <v>3047.82</v>
      </c>
      <c r="O122" t="s">
        <v>37</v>
      </c>
      <c r="P122" t="str">
        <f>UPPER(TRIM(SalesData[[#This Row],[Payment Mode]]))</f>
        <v>DEBIT CARD</v>
      </c>
    </row>
    <row r="123" spans="1:16" x14ac:dyDescent="0.35">
      <c r="A123" s="4" t="s">
        <v>194</v>
      </c>
      <c r="B123" s="6">
        <v>45753</v>
      </c>
      <c r="C123" t="s">
        <v>21</v>
      </c>
      <c r="D123" t="str">
        <f>TRIM(SalesData[[#This Row],[Customer Name]])</f>
        <v>Aarav Sharma</v>
      </c>
      <c r="E123" t="s">
        <v>31</v>
      </c>
      <c r="F123" t="s">
        <v>23</v>
      </c>
      <c r="G123" t="s">
        <v>17</v>
      </c>
      <c r="H123" t="s">
        <v>18</v>
      </c>
      <c r="I123" s="10">
        <v>5</v>
      </c>
      <c r="J123" s="12">
        <v>0.1</v>
      </c>
      <c r="K123" s="8">
        <v>11713.07</v>
      </c>
      <c r="L123">
        <v>52708.82</v>
      </c>
      <c r="M123" s="8">
        <v>30924.75</v>
      </c>
      <c r="N123" s="8">
        <v>21784.07</v>
      </c>
      <c r="O123" t="s">
        <v>195</v>
      </c>
      <c r="P123" t="str">
        <f>UPPER(TRIM(SalesData[[#This Row],[Payment Mode]]))</f>
        <v>UPI</v>
      </c>
    </row>
    <row r="124" spans="1:16" x14ac:dyDescent="0.35">
      <c r="A124" s="4" t="s">
        <v>196</v>
      </c>
      <c r="B124" s="6">
        <v>45753</v>
      </c>
      <c r="C124" t="s">
        <v>85</v>
      </c>
      <c r="D124" t="str">
        <f>TRIM(SalesData[[#This Row],[Customer Name]])</f>
        <v>Amit Verma</v>
      </c>
      <c r="E124" t="s">
        <v>16</v>
      </c>
      <c r="F124" t="s">
        <v>16</v>
      </c>
      <c r="G124" t="s">
        <v>24</v>
      </c>
      <c r="H124" t="s">
        <v>25</v>
      </c>
      <c r="I124" s="10">
        <v>4</v>
      </c>
      <c r="J124" s="12">
        <v>0.05</v>
      </c>
      <c r="K124" s="8">
        <v>9200.4599999999991</v>
      </c>
      <c r="L124">
        <v>34961.75</v>
      </c>
      <c r="M124" s="8">
        <v>18282.12</v>
      </c>
      <c r="N124" s="8">
        <v>16679.63</v>
      </c>
      <c r="O124" t="s">
        <v>48</v>
      </c>
      <c r="P124" t="str">
        <f>UPPER(TRIM(SalesData[[#This Row],[Payment Mode]]))</f>
        <v>CREDIT CARD</v>
      </c>
    </row>
    <row r="125" spans="1:16" x14ac:dyDescent="0.35">
      <c r="A125" s="4" t="s">
        <v>197</v>
      </c>
      <c r="B125" s="6">
        <v>45754</v>
      </c>
      <c r="C125" t="s">
        <v>93</v>
      </c>
      <c r="D125" t="str">
        <f>TRIM(SalesData[[#This Row],[Customer Name]])</f>
        <v>Aditya Joshi</v>
      </c>
      <c r="E125" t="s">
        <v>73</v>
      </c>
      <c r="F125" t="s">
        <v>74</v>
      </c>
      <c r="G125" t="s">
        <v>32</v>
      </c>
      <c r="H125" t="s">
        <v>18</v>
      </c>
      <c r="I125" s="10">
        <v>4</v>
      </c>
      <c r="J125" s="12">
        <v>0.05</v>
      </c>
      <c r="K125" s="8">
        <v>52380.38</v>
      </c>
      <c r="L125">
        <v>199045.44</v>
      </c>
      <c r="M125" s="8">
        <v>176361.24</v>
      </c>
      <c r="N125" s="8">
        <v>22684.2</v>
      </c>
      <c r="O125" t="s">
        <v>37</v>
      </c>
      <c r="P125" t="str">
        <f>UPPER(TRIM(SalesData[[#This Row],[Payment Mode]]))</f>
        <v>DEBIT CARD</v>
      </c>
    </row>
    <row r="126" spans="1:16" x14ac:dyDescent="0.35">
      <c r="A126" s="4" t="s">
        <v>198</v>
      </c>
      <c r="B126" s="6">
        <v>45755</v>
      </c>
      <c r="C126" t="s">
        <v>72</v>
      </c>
      <c r="D126" t="str">
        <f>TRIM(SalesData[[#This Row],[Customer Name]])</f>
        <v>Riya Shah</v>
      </c>
      <c r="E126" t="s">
        <v>22</v>
      </c>
      <c r="F126" t="s">
        <v>23</v>
      </c>
      <c r="G126" t="s">
        <v>101</v>
      </c>
      <c r="H126" t="s">
        <v>18</v>
      </c>
      <c r="I126" s="10">
        <v>3</v>
      </c>
      <c r="J126" s="12">
        <v>0.1</v>
      </c>
      <c r="K126" s="8">
        <v>18211.07</v>
      </c>
      <c r="L126">
        <v>49169.89</v>
      </c>
      <c r="M126" s="8">
        <v>25153.11</v>
      </c>
      <c r="N126" s="8">
        <v>24016.78</v>
      </c>
      <c r="O126" t="s">
        <v>37</v>
      </c>
      <c r="P126" t="str">
        <f>UPPER(TRIM(SalesData[[#This Row],[Payment Mode]]))</f>
        <v>DEBIT CARD</v>
      </c>
    </row>
    <row r="127" spans="1:16" x14ac:dyDescent="0.35">
      <c r="A127" s="4" t="s">
        <v>199</v>
      </c>
      <c r="B127" s="6">
        <v>45756</v>
      </c>
      <c r="C127" t="s">
        <v>80</v>
      </c>
      <c r="D127" t="str">
        <f>TRIM(SalesData[[#This Row],[Customer Name]])</f>
        <v>Sagar Mane</v>
      </c>
      <c r="E127" t="s">
        <v>83</v>
      </c>
      <c r="F127" t="s">
        <v>23</v>
      </c>
      <c r="G127" t="s">
        <v>24</v>
      </c>
      <c r="H127" t="s">
        <v>25</v>
      </c>
      <c r="I127" s="10">
        <v>1</v>
      </c>
      <c r="J127" s="12">
        <v>0</v>
      </c>
      <c r="K127" s="8">
        <v>8898.65</v>
      </c>
      <c r="L127">
        <v>8898.65</v>
      </c>
      <c r="M127" s="8">
        <v>4658.33</v>
      </c>
      <c r="N127" s="8">
        <v>4240.32</v>
      </c>
      <c r="O127" t="s">
        <v>43</v>
      </c>
      <c r="P127" t="str">
        <f>UPPER(TRIM(SalesData[[#This Row],[Payment Mode]]))</f>
        <v>UPI</v>
      </c>
    </row>
    <row r="128" spans="1:16" x14ac:dyDescent="0.35">
      <c r="A128" s="4" t="s">
        <v>200</v>
      </c>
      <c r="B128" s="6">
        <v>45756</v>
      </c>
      <c r="C128" t="s">
        <v>62</v>
      </c>
      <c r="D128" t="str">
        <f>TRIM(SalesData[[#This Row],[Customer Name]])</f>
        <v>Vivek More</v>
      </c>
      <c r="E128" t="s">
        <v>73</v>
      </c>
      <c r="F128" t="s">
        <v>74</v>
      </c>
      <c r="G128" t="s">
        <v>65</v>
      </c>
      <c r="H128" t="s">
        <v>18</v>
      </c>
      <c r="I128" s="10">
        <v>5</v>
      </c>
      <c r="J128" s="12">
        <v>0.05</v>
      </c>
      <c r="K128" s="8">
        <v>21554.18</v>
      </c>
      <c r="L128">
        <v>102382.36</v>
      </c>
      <c r="M128" s="8">
        <v>69512.350000000006</v>
      </c>
      <c r="N128" s="8">
        <v>32870.01</v>
      </c>
      <c r="O128" t="s">
        <v>19</v>
      </c>
      <c r="P128" t="str">
        <f>UPPER(TRIM(SalesData[[#This Row],[Payment Mode]]))</f>
        <v>CASH</v>
      </c>
    </row>
    <row r="129" spans="1:16" x14ac:dyDescent="0.35">
      <c r="A129" s="4" t="s">
        <v>201</v>
      </c>
      <c r="B129" s="6">
        <v>45756</v>
      </c>
      <c r="C129" t="s">
        <v>80</v>
      </c>
      <c r="D129" t="str">
        <f>TRIM(SalesData[[#This Row],[Customer Name]])</f>
        <v>Sagar Mane</v>
      </c>
      <c r="E129" t="s">
        <v>83</v>
      </c>
      <c r="F129" t="s">
        <v>23</v>
      </c>
      <c r="G129" t="s">
        <v>101</v>
      </c>
      <c r="H129" t="s">
        <v>18</v>
      </c>
      <c r="I129" s="10">
        <v>2</v>
      </c>
      <c r="J129" s="12">
        <v>0</v>
      </c>
      <c r="K129" s="8">
        <v>17386.09</v>
      </c>
      <c r="L129">
        <v>34772.18</v>
      </c>
      <c r="M129" s="8">
        <v>15949.66</v>
      </c>
      <c r="N129" s="8">
        <v>18822.52</v>
      </c>
      <c r="O129" t="s">
        <v>43</v>
      </c>
      <c r="P129" t="str">
        <f>UPPER(TRIM(SalesData[[#This Row],[Payment Mode]]))</f>
        <v>UPI</v>
      </c>
    </row>
    <row r="130" spans="1:16" x14ac:dyDescent="0.35">
      <c r="A130" s="4" t="s">
        <v>202</v>
      </c>
      <c r="B130" s="6">
        <v>45757</v>
      </c>
      <c r="C130" t="s">
        <v>80</v>
      </c>
      <c r="D130" t="str">
        <f>TRIM(SalesData[[#This Row],[Customer Name]])</f>
        <v>Sagar Mane</v>
      </c>
      <c r="E130" t="s">
        <v>105</v>
      </c>
      <c r="F130" t="s">
        <v>106</v>
      </c>
      <c r="G130" t="s">
        <v>60</v>
      </c>
      <c r="H130" t="s">
        <v>36</v>
      </c>
      <c r="I130" s="10">
        <v>2</v>
      </c>
      <c r="J130" s="12">
        <v>0</v>
      </c>
      <c r="K130" s="8">
        <v>3555.07</v>
      </c>
      <c r="L130">
        <v>7110.14</v>
      </c>
      <c r="M130" s="8">
        <v>2393.34</v>
      </c>
      <c r="N130" s="8">
        <v>4716.8</v>
      </c>
      <c r="O130" t="s">
        <v>26</v>
      </c>
      <c r="P130" t="str">
        <f>UPPER(TRIM(SalesData[[#This Row],[Payment Mode]]))</f>
        <v>NET BANKING</v>
      </c>
    </row>
    <row r="131" spans="1:16" x14ac:dyDescent="0.35">
      <c r="A131" s="4" t="s">
        <v>203</v>
      </c>
      <c r="B131" s="6">
        <v>45759</v>
      </c>
      <c r="C131" t="s">
        <v>39</v>
      </c>
      <c r="D131" t="str">
        <f>TRIM(SalesData[[#This Row],[Customer Name]])</f>
        <v>Akash Wagh</v>
      </c>
      <c r="E131" t="s">
        <v>40</v>
      </c>
      <c r="F131" t="s">
        <v>23</v>
      </c>
      <c r="G131" t="s">
        <v>32</v>
      </c>
      <c r="H131" t="s">
        <v>18</v>
      </c>
      <c r="I131" s="10">
        <v>4</v>
      </c>
      <c r="J131" s="12">
        <v>0.1</v>
      </c>
      <c r="K131" s="8">
        <v>52687.23</v>
      </c>
      <c r="L131">
        <v>189674.03</v>
      </c>
      <c r="M131" s="8">
        <v>161783</v>
      </c>
      <c r="N131" s="8">
        <v>27891.03</v>
      </c>
      <c r="O131" t="s">
        <v>43</v>
      </c>
      <c r="P131" t="str">
        <f>UPPER(TRIM(SalesData[[#This Row],[Payment Mode]]))</f>
        <v>UPI</v>
      </c>
    </row>
    <row r="132" spans="1:16" x14ac:dyDescent="0.35">
      <c r="A132" s="4" t="s">
        <v>204</v>
      </c>
      <c r="B132" s="6">
        <v>45759</v>
      </c>
      <c r="C132" t="s">
        <v>85</v>
      </c>
      <c r="D132" t="str">
        <f>TRIM(SalesData[[#This Row],[Customer Name]])</f>
        <v>Amit Verma</v>
      </c>
      <c r="E132" t="s">
        <v>31</v>
      </c>
      <c r="F132" t="s">
        <v>23</v>
      </c>
      <c r="G132" t="s">
        <v>75</v>
      </c>
      <c r="H132" t="s">
        <v>18</v>
      </c>
      <c r="I132" s="10">
        <v>4</v>
      </c>
      <c r="J132" s="12">
        <v>0.05</v>
      </c>
      <c r="K132" s="8">
        <v>16154.38</v>
      </c>
      <c r="L132">
        <v>61386.64</v>
      </c>
      <c r="M132" s="8">
        <v>36164.480000000003</v>
      </c>
      <c r="N132" s="8">
        <v>25222.16</v>
      </c>
      <c r="O132" t="s">
        <v>37</v>
      </c>
      <c r="P132" t="str">
        <f>UPPER(TRIM(SalesData[[#This Row],[Payment Mode]]))</f>
        <v>DEBIT CARD</v>
      </c>
    </row>
    <row r="133" spans="1:16" x14ac:dyDescent="0.35">
      <c r="A133" s="4" t="s">
        <v>205</v>
      </c>
      <c r="B133" s="6">
        <v>45760</v>
      </c>
      <c r="C133" t="s">
        <v>116</v>
      </c>
      <c r="D133" t="str">
        <f>TRIM(SalesData[[#This Row],[Customer Name]])</f>
        <v>Sneha Kulkarni</v>
      </c>
      <c r="E133" t="s">
        <v>40</v>
      </c>
      <c r="F133" t="s">
        <v>23</v>
      </c>
      <c r="G133" t="s">
        <v>17</v>
      </c>
      <c r="H133" t="s">
        <v>18</v>
      </c>
      <c r="I133" s="10">
        <v>3</v>
      </c>
      <c r="J133" s="12">
        <v>0</v>
      </c>
      <c r="K133" s="8">
        <v>12026.69</v>
      </c>
      <c r="L133">
        <v>36080.07</v>
      </c>
      <c r="M133" s="8">
        <v>20026.5</v>
      </c>
      <c r="N133" s="8">
        <v>16053.57</v>
      </c>
      <c r="O133" t="s">
        <v>26</v>
      </c>
      <c r="P133" t="str">
        <f>UPPER(TRIM(SalesData[[#This Row],[Payment Mode]]))</f>
        <v>NET BANKING</v>
      </c>
    </row>
    <row r="134" spans="1:16" x14ac:dyDescent="0.35">
      <c r="A134" s="4" t="s">
        <v>206</v>
      </c>
      <c r="B134" s="6">
        <v>45760</v>
      </c>
      <c r="C134" t="s">
        <v>39</v>
      </c>
      <c r="D134" t="str">
        <f>TRIM(SalesData[[#This Row],[Customer Name]])</f>
        <v>Akash Wagh</v>
      </c>
      <c r="E134" t="s">
        <v>83</v>
      </c>
      <c r="F134" t="s">
        <v>23</v>
      </c>
      <c r="G134" t="s">
        <v>77</v>
      </c>
      <c r="H134" t="s">
        <v>25</v>
      </c>
      <c r="I134" s="10">
        <v>2</v>
      </c>
      <c r="J134" s="12">
        <v>0</v>
      </c>
      <c r="K134" s="8">
        <v>7721.51</v>
      </c>
      <c r="L134">
        <v>15443.02</v>
      </c>
      <c r="M134" s="8">
        <v>7171.54</v>
      </c>
      <c r="N134" s="8">
        <v>8271.48</v>
      </c>
      <c r="O134" t="s">
        <v>37</v>
      </c>
      <c r="P134" t="str">
        <f>UPPER(TRIM(SalesData[[#This Row],[Payment Mode]]))</f>
        <v>DEBIT CARD</v>
      </c>
    </row>
    <row r="135" spans="1:16" x14ac:dyDescent="0.35">
      <c r="A135" s="4" t="s">
        <v>207</v>
      </c>
      <c r="B135" s="6">
        <v>45761</v>
      </c>
      <c r="C135" t="s">
        <v>59</v>
      </c>
      <c r="D135" t="str">
        <f>TRIM(SalesData[[#This Row],[Customer Name]])</f>
        <v>Rohan Deshmukh</v>
      </c>
      <c r="E135" t="s">
        <v>31</v>
      </c>
      <c r="F135" t="s">
        <v>23</v>
      </c>
      <c r="G135" t="s">
        <v>107</v>
      </c>
      <c r="H135" t="s">
        <v>36</v>
      </c>
      <c r="I135" s="10">
        <v>2</v>
      </c>
      <c r="J135" s="12">
        <v>0.05</v>
      </c>
      <c r="K135" s="8">
        <v>1856.12</v>
      </c>
      <c r="L135">
        <v>3526.63</v>
      </c>
      <c r="M135" s="8">
        <v>1229</v>
      </c>
      <c r="N135" s="8">
        <v>2297.63</v>
      </c>
      <c r="O135" t="s">
        <v>48</v>
      </c>
      <c r="P135" t="str">
        <f>UPPER(TRIM(SalesData[[#This Row],[Payment Mode]]))</f>
        <v>CREDIT CARD</v>
      </c>
    </row>
    <row r="136" spans="1:16" x14ac:dyDescent="0.35">
      <c r="A136" s="4" t="s">
        <v>208</v>
      </c>
      <c r="B136" s="6">
        <v>45761</v>
      </c>
      <c r="C136" t="s">
        <v>89</v>
      </c>
      <c r="D136" t="str">
        <f>TRIM(SalesData[[#This Row],[Customer Name]])</f>
        <v>Kunal Thakur</v>
      </c>
      <c r="E136" t="s">
        <v>22</v>
      </c>
      <c r="F136" t="s">
        <v>23</v>
      </c>
      <c r="G136" t="s">
        <v>65</v>
      </c>
      <c r="H136" t="s">
        <v>18</v>
      </c>
      <c r="I136" s="10">
        <v>3</v>
      </c>
      <c r="J136" s="12">
        <v>0</v>
      </c>
      <c r="K136" s="8">
        <v>22621.25</v>
      </c>
      <c r="L136">
        <v>67863.75</v>
      </c>
      <c r="M136" s="8">
        <v>42985.23</v>
      </c>
      <c r="N136" s="8">
        <v>24878.52</v>
      </c>
      <c r="O136" t="s">
        <v>26</v>
      </c>
      <c r="P136" t="str">
        <f>UPPER(TRIM(SalesData[[#This Row],[Payment Mode]]))</f>
        <v>NET BANKING</v>
      </c>
    </row>
    <row r="137" spans="1:16" x14ac:dyDescent="0.35">
      <c r="A137" s="4" t="s">
        <v>209</v>
      </c>
      <c r="B137" s="6">
        <v>45761</v>
      </c>
      <c r="C137" t="s">
        <v>168</v>
      </c>
      <c r="D137" t="str">
        <f>TRIM(SalesData[[#This Row],[Customer Name]])</f>
        <v>Kavita Singh</v>
      </c>
      <c r="E137" t="s">
        <v>28</v>
      </c>
      <c r="F137" t="s">
        <v>23</v>
      </c>
      <c r="G137" t="s">
        <v>60</v>
      </c>
      <c r="H137" t="s">
        <v>36</v>
      </c>
      <c r="I137" s="10">
        <v>2</v>
      </c>
      <c r="J137" s="12">
        <v>0.05</v>
      </c>
      <c r="K137" s="8">
        <v>3562.14</v>
      </c>
      <c r="L137">
        <v>6768.07</v>
      </c>
      <c r="M137" s="8">
        <v>2354.84</v>
      </c>
      <c r="N137" s="8">
        <v>4413.2299999999996</v>
      </c>
      <c r="O137" t="s">
        <v>37</v>
      </c>
      <c r="P137" t="str">
        <f>UPPER(TRIM(SalesData[[#This Row],[Payment Mode]]))</f>
        <v>DEBIT CARD</v>
      </c>
    </row>
    <row r="138" spans="1:16" x14ac:dyDescent="0.35">
      <c r="A138" s="4" t="s">
        <v>210</v>
      </c>
      <c r="B138" s="6">
        <v>45761</v>
      </c>
      <c r="C138" t="s">
        <v>15</v>
      </c>
      <c r="D138" t="str">
        <f>TRIM(SalesData[[#This Row],[Customer Name]])</f>
        <v>Isha Bhosale</v>
      </c>
      <c r="E138" t="s">
        <v>46</v>
      </c>
      <c r="F138" t="s">
        <v>23</v>
      </c>
      <c r="G138" t="s">
        <v>60</v>
      </c>
      <c r="H138" t="s">
        <v>36</v>
      </c>
      <c r="I138" s="10">
        <v>1</v>
      </c>
      <c r="J138" s="12">
        <v>0.05</v>
      </c>
      <c r="K138" s="8">
        <v>3354.45</v>
      </c>
      <c r="L138">
        <v>3186.73</v>
      </c>
      <c r="M138" s="8">
        <v>1159.4000000000001</v>
      </c>
      <c r="N138" s="8">
        <v>2027.33</v>
      </c>
      <c r="O138" t="s">
        <v>37</v>
      </c>
      <c r="P138" t="str">
        <f>UPPER(TRIM(SalesData[[#This Row],[Payment Mode]]))</f>
        <v>DEBIT CARD</v>
      </c>
    </row>
    <row r="139" spans="1:16" x14ac:dyDescent="0.35">
      <c r="A139" s="4" t="s">
        <v>211</v>
      </c>
      <c r="B139" s="6">
        <v>45763</v>
      </c>
      <c r="C139" t="s">
        <v>89</v>
      </c>
      <c r="D139" t="str">
        <f>TRIM(SalesData[[#This Row],[Customer Name]])</f>
        <v>Kunal Thakur</v>
      </c>
      <c r="E139" t="s">
        <v>53</v>
      </c>
      <c r="F139" t="s">
        <v>54</v>
      </c>
      <c r="G139" t="s">
        <v>75</v>
      </c>
      <c r="H139" t="s">
        <v>18</v>
      </c>
      <c r="I139" s="10">
        <v>2</v>
      </c>
      <c r="J139" s="12">
        <v>0</v>
      </c>
      <c r="K139" s="8">
        <v>16022.38</v>
      </c>
      <c r="L139">
        <v>32044.76</v>
      </c>
      <c r="M139" s="8">
        <v>18510.580000000002</v>
      </c>
      <c r="N139" s="8">
        <v>13534.18</v>
      </c>
      <c r="O139" t="s">
        <v>43</v>
      </c>
      <c r="P139" t="str">
        <f>UPPER(TRIM(SalesData[[#This Row],[Payment Mode]]))</f>
        <v>UPI</v>
      </c>
    </row>
    <row r="140" spans="1:16" x14ac:dyDescent="0.35">
      <c r="A140" s="4" t="s">
        <v>212</v>
      </c>
      <c r="B140" s="6">
        <v>45763</v>
      </c>
      <c r="C140" t="s">
        <v>168</v>
      </c>
      <c r="D140" t="str">
        <f>TRIM(SalesData[[#This Row],[Customer Name]])</f>
        <v>Kavita Singh</v>
      </c>
      <c r="E140" t="s">
        <v>22</v>
      </c>
      <c r="F140" t="s">
        <v>23</v>
      </c>
      <c r="G140" t="s">
        <v>35</v>
      </c>
      <c r="H140" t="s">
        <v>36</v>
      </c>
      <c r="I140" s="10">
        <v>2</v>
      </c>
      <c r="J140" s="12">
        <v>0.15</v>
      </c>
      <c r="K140" s="8">
        <v>1164.0999999999999</v>
      </c>
      <c r="L140">
        <v>1978.97</v>
      </c>
      <c r="M140" s="8">
        <v>713.52</v>
      </c>
      <c r="N140" s="8">
        <v>1265.45</v>
      </c>
      <c r="O140" t="s">
        <v>43</v>
      </c>
      <c r="P140" t="str">
        <f>UPPER(TRIM(SalesData[[#This Row],[Payment Mode]]))</f>
        <v>UPI</v>
      </c>
    </row>
    <row r="141" spans="1:16" x14ac:dyDescent="0.35">
      <c r="A141" s="4" t="s">
        <v>213</v>
      </c>
      <c r="B141" s="6">
        <v>45763</v>
      </c>
      <c r="C141" t="s">
        <v>45</v>
      </c>
      <c r="D141" t="str">
        <f>TRIM(SalesData[[#This Row],[Customer Name]])</f>
        <v>Nikhil Gupta</v>
      </c>
      <c r="E141" t="s">
        <v>28</v>
      </c>
      <c r="F141" t="s">
        <v>23</v>
      </c>
      <c r="G141" t="s">
        <v>35</v>
      </c>
      <c r="H141" t="s">
        <v>36</v>
      </c>
      <c r="I141" s="10">
        <v>5</v>
      </c>
      <c r="J141" s="12">
        <v>0</v>
      </c>
      <c r="K141" s="8">
        <v>1205.67</v>
      </c>
      <c r="L141">
        <v>6028.35</v>
      </c>
      <c r="M141" s="8">
        <v>1836.05</v>
      </c>
      <c r="N141" s="8">
        <v>4192.3</v>
      </c>
      <c r="O141" t="s">
        <v>26</v>
      </c>
      <c r="P141" t="str">
        <f>UPPER(TRIM(SalesData[[#This Row],[Payment Mode]]))</f>
        <v>NET BANKING</v>
      </c>
    </row>
    <row r="142" spans="1:16" x14ac:dyDescent="0.35">
      <c r="A142" s="4" t="s">
        <v>214</v>
      </c>
      <c r="B142" s="6">
        <v>45763</v>
      </c>
      <c r="C142" t="s">
        <v>50</v>
      </c>
      <c r="D142" t="str">
        <f>TRIM(SalesData[[#This Row],[Customer Name]])</f>
        <v>Priya Patil</v>
      </c>
      <c r="E142" t="s">
        <v>53</v>
      </c>
      <c r="F142" t="s">
        <v>54</v>
      </c>
      <c r="G142" t="s">
        <v>24</v>
      </c>
      <c r="H142" t="s">
        <v>25</v>
      </c>
      <c r="I142" s="10">
        <v>1</v>
      </c>
      <c r="J142" s="12">
        <v>0</v>
      </c>
      <c r="K142" s="8">
        <v>9435.81</v>
      </c>
      <c r="L142">
        <v>9435.81</v>
      </c>
      <c r="M142" s="8">
        <v>4453.07</v>
      </c>
      <c r="N142" s="8">
        <v>4982.74</v>
      </c>
      <c r="O142" t="s">
        <v>43</v>
      </c>
      <c r="P142" t="str">
        <f>UPPER(TRIM(SalesData[[#This Row],[Payment Mode]]))</f>
        <v>UPI</v>
      </c>
    </row>
    <row r="143" spans="1:16" x14ac:dyDescent="0.35">
      <c r="A143" s="4" t="s">
        <v>215</v>
      </c>
      <c r="B143" s="6">
        <v>45765</v>
      </c>
      <c r="C143" t="s">
        <v>45</v>
      </c>
      <c r="D143" t="str">
        <f>TRIM(SalesData[[#This Row],[Customer Name]])</f>
        <v>Nikhil Gupta</v>
      </c>
      <c r="E143" t="s">
        <v>53</v>
      </c>
      <c r="F143" t="s">
        <v>54</v>
      </c>
      <c r="G143" t="s">
        <v>32</v>
      </c>
      <c r="H143" t="s">
        <v>18</v>
      </c>
      <c r="I143" s="10">
        <v>3</v>
      </c>
      <c r="J143" s="12">
        <v>0</v>
      </c>
      <c r="K143" s="8">
        <v>52338.11</v>
      </c>
      <c r="L143">
        <v>157014.32999999999</v>
      </c>
      <c r="M143" s="8">
        <v>128379.96</v>
      </c>
      <c r="N143" s="8">
        <v>28634.37</v>
      </c>
      <c r="O143" t="s">
        <v>43</v>
      </c>
      <c r="P143" t="str">
        <f>UPPER(TRIM(SalesData[[#This Row],[Payment Mode]]))</f>
        <v>UPI</v>
      </c>
    </row>
    <row r="144" spans="1:16" x14ac:dyDescent="0.35">
      <c r="A144" s="4" t="s">
        <v>216</v>
      </c>
      <c r="B144" s="6">
        <v>45765</v>
      </c>
      <c r="C144" t="s">
        <v>50</v>
      </c>
      <c r="D144" t="str">
        <f>TRIM(SalesData[[#This Row],[Customer Name]])</f>
        <v>Priya Patil</v>
      </c>
      <c r="E144" t="s">
        <v>86</v>
      </c>
      <c r="F144" t="s">
        <v>87</v>
      </c>
      <c r="G144" t="s">
        <v>60</v>
      </c>
      <c r="H144" t="s">
        <v>36</v>
      </c>
      <c r="I144" s="10">
        <v>5</v>
      </c>
      <c r="J144" s="12">
        <v>0.05</v>
      </c>
      <c r="K144" s="8">
        <v>3583.25</v>
      </c>
      <c r="L144">
        <v>17020.439999999999</v>
      </c>
      <c r="M144" s="8">
        <v>6012.1</v>
      </c>
      <c r="N144" s="8">
        <v>11008.34</v>
      </c>
      <c r="O144" t="s">
        <v>37</v>
      </c>
      <c r="P144" t="str">
        <f>UPPER(TRIM(SalesData[[#This Row],[Payment Mode]]))</f>
        <v>DEBIT CARD</v>
      </c>
    </row>
    <row r="145" spans="1:16" x14ac:dyDescent="0.35">
      <c r="A145" s="4" t="s">
        <v>217</v>
      </c>
      <c r="B145" s="6">
        <v>45765</v>
      </c>
      <c r="C145" t="s">
        <v>50</v>
      </c>
      <c r="D145" t="str">
        <f>TRIM(SalesData[[#This Row],[Customer Name]])</f>
        <v>Priya Patil</v>
      </c>
      <c r="E145" t="s">
        <v>31</v>
      </c>
      <c r="F145" t="s">
        <v>23</v>
      </c>
      <c r="G145" t="s">
        <v>60</v>
      </c>
      <c r="H145" t="s">
        <v>36</v>
      </c>
      <c r="I145" s="10">
        <v>2</v>
      </c>
      <c r="J145" s="12">
        <v>0.05</v>
      </c>
      <c r="K145" s="8">
        <v>3530.31</v>
      </c>
      <c r="L145">
        <v>6707.59</v>
      </c>
      <c r="M145" s="8">
        <v>2320.3200000000002</v>
      </c>
      <c r="N145" s="8">
        <v>4387.2700000000004</v>
      </c>
      <c r="O145" t="s">
        <v>43</v>
      </c>
      <c r="P145" t="str">
        <f>UPPER(TRIM(SalesData[[#This Row],[Payment Mode]]))</f>
        <v>UPI</v>
      </c>
    </row>
    <row r="146" spans="1:16" x14ac:dyDescent="0.35">
      <c r="A146" s="4" t="s">
        <v>218</v>
      </c>
      <c r="B146" s="6">
        <v>45766</v>
      </c>
      <c r="C146" t="s">
        <v>168</v>
      </c>
      <c r="D146" t="str">
        <f>TRIM(SalesData[[#This Row],[Customer Name]])</f>
        <v>Kavita Singh</v>
      </c>
      <c r="E146" t="s">
        <v>105</v>
      </c>
      <c r="F146" t="s">
        <v>106</v>
      </c>
      <c r="G146" t="s">
        <v>47</v>
      </c>
      <c r="H146" t="s">
        <v>25</v>
      </c>
      <c r="I146" s="10">
        <v>4</v>
      </c>
      <c r="J146" s="12">
        <v>0</v>
      </c>
      <c r="K146" s="8">
        <v>6081.89</v>
      </c>
      <c r="L146">
        <v>24327.56</v>
      </c>
      <c r="M146" s="8">
        <v>9649</v>
      </c>
      <c r="N146" s="8">
        <v>14678.56</v>
      </c>
      <c r="O146" t="s">
        <v>48</v>
      </c>
      <c r="P146" t="str">
        <f>UPPER(TRIM(SalesData[[#This Row],[Payment Mode]]))</f>
        <v>CREDIT CARD</v>
      </c>
    </row>
    <row r="147" spans="1:16" x14ac:dyDescent="0.35">
      <c r="A147" s="4" t="s">
        <v>219</v>
      </c>
      <c r="B147" s="6">
        <v>45767</v>
      </c>
      <c r="C147" t="s">
        <v>30</v>
      </c>
      <c r="D147" t="str">
        <f>TRIM(SalesData[[#This Row],[Customer Name]])</f>
        <v>Swati Kale</v>
      </c>
      <c r="E147" t="s">
        <v>28</v>
      </c>
      <c r="F147" t="s">
        <v>23</v>
      </c>
      <c r="G147" t="s">
        <v>65</v>
      </c>
      <c r="H147" t="s">
        <v>18</v>
      </c>
      <c r="I147" s="10">
        <v>1</v>
      </c>
      <c r="J147" s="12">
        <v>0.05</v>
      </c>
      <c r="K147" s="8">
        <v>21590.2</v>
      </c>
      <c r="L147">
        <v>20510.689999999999</v>
      </c>
      <c r="M147" s="8">
        <v>14148.92</v>
      </c>
      <c r="N147" s="8">
        <v>6361.77</v>
      </c>
      <c r="O147" t="s">
        <v>26</v>
      </c>
      <c r="P147" t="str">
        <f>UPPER(TRIM(SalesData[[#This Row],[Payment Mode]]))</f>
        <v>NET BANKING</v>
      </c>
    </row>
    <row r="148" spans="1:16" x14ac:dyDescent="0.35">
      <c r="A148" s="4" t="s">
        <v>220</v>
      </c>
      <c r="B148" s="6">
        <v>45767</v>
      </c>
      <c r="C148" t="s">
        <v>80</v>
      </c>
      <c r="D148" t="str">
        <f>TRIM(SalesData[[#This Row],[Customer Name]])</f>
        <v>Sagar Mane</v>
      </c>
      <c r="E148" t="s">
        <v>40</v>
      </c>
      <c r="F148" t="s">
        <v>23</v>
      </c>
      <c r="G148" t="s">
        <v>75</v>
      </c>
      <c r="H148" t="s">
        <v>18</v>
      </c>
      <c r="I148" s="10">
        <v>3</v>
      </c>
      <c r="J148" s="12">
        <v>0.05</v>
      </c>
      <c r="K148" s="8">
        <v>15719.22</v>
      </c>
      <c r="L148">
        <v>44799.78</v>
      </c>
      <c r="M148" s="8">
        <v>26377.68</v>
      </c>
      <c r="N148" s="8">
        <v>18422.099999999999</v>
      </c>
      <c r="O148" t="s">
        <v>37</v>
      </c>
      <c r="P148" t="str">
        <f>UPPER(TRIM(SalesData[[#This Row],[Payment Mode]]))</f>
        <v>DEBIT CARD</v>
      </c>
    </row>
    <row r="149" spans="1:16" x14ac:dyDescent="0.35">
      <c r="A149" s="4" t="s">
        <v>221</v>
      </c>
      <c r="B149" s="6">
        <v>45768</v>
      </c>
      <c r="C149" t="s">
        <v>56</v>
      </c>
      <c r="D149" t="str">
        <f>TRIM(SalesData[[#This Row],[Customer Name]])</f>
        <v>Pooja Shinde</v>
      </c>
      <c r="E149" t="s">
        <v>28</v>
      </c>
      <c r="F149" t="s">
        <v>23</v>
      </c>
      <c r="G149" t="s">
        <v>101</v>
      </c>
      <c r="H149" t="s">
        <v>18</v>
      </c>
      <c r="I149" s="10">
        <v>4</v>
      </c>
      <c r="J149" s="12">
        <v>0.1</v>
      </c>
      <c r="K149" s="8">
        <v>17350.41</v>
      </c>
      <c r="L149">
        <v>62461.48</v>
      </c>
      <c r="M149" s="8">
        <v>30722.560000000001</v>
      </c>
      <c r="N149" s="8">
        <v>31738.92</v>
      </c>
      <c r="O149" t="s">
        <v>19</v>
      </c>
      <c r="P149" t="str">
        <f>UPPER(TRIM(SalesData[[#This Row],[Payment Mode]]))</f>
        <v>CASH</v>
      </c>
    </row>
    <row r="150" spans="1:16" x14ac:dyDescent="0.35">
      <c r="A150" s="4" t="s">
        <v>222</v>
      </c>
      <c r="B150" s="6">
        <v>45768</v>
      </c>
      <c r="C150" t="s">
        <v>93</v>
      </c>
      <c r="D150" t="str">
        <f>TRIM(SalesData[[#This Row],[Customer Name]])</f>
        <v>Aditya Joshi</v>
      </c>
      <c r="E150" t="s">
        <v>53</v>
      </c>
      <c r="F150" t="s">
        <v>54</v>
      </c>
      <c r="G150" t="s">
        <v>60</v>
      </c>
      <c r="H150" t="s">
        <v>36</v>
      </c>
      <c r="I150" s="10">
        <v>1</v>
      </c>
      <c r="J150" s="12">
        <v>0.05</v>
      </c>
      <c r="K150" s="8">
        <v>3538.64</v>
      </c>
      <c r="L150">
        <v>3361.71</v>
      </c>
      <c r="M150" s="8">
        <v>1253.92</v>
      </c>
      <c r="N150" s="8">
        <v>2107.79</v>
      </c>
      <c r="O150" t="s">
        <v>43</v>
      </c>
      <c r="P150" t="str">
        <f>UPPER(TRIM(SalesData[[#This Row],[Payment Mode]]))</f>
        <v>UPI</v>
      </c>
    </row>
    <row r="151" spans="1:16" x14ac:dyDescent="0.35">
      <c r="A151" s="4" t="s">
        <v>223</v>
      </c>
      <c r="B151" s="6">
        <v>45768</v>
      </c>
      <c r="C151" t="s">
        <v>50</v>
      </c>
      <c r="D151" t="str">
        <f>TRIM(SalesData[[#This Row],[Customer Name]])</f>
        <v>Priya Patil</v>
      </c>
      <c r="E151" t="s">
        <v>83</v>
      </c>
      <c r="F151" t="s">
        <v>23</v>
      </c>
      <c r="G151" t="s">
        <v>41</v>
      </c>
      <c r="H151" t="s">
        <v>42</v>
      </c>
      <c r="I151" s="10">
        <v>4</v>
      </c>
      <c r="J151" s="12">
        <v>0</v>
      </c>
      <c r="K151" s="8">
        <v>1826.79</v>
      </c>
      <c r="L151">
        <v>7307.16</v>
      </c>
      <c r="M151" s="8">
        <v>2794.28</v>
      </c>
      <c r="N151" s="8">
        <v>4512.88</v>
      </c>
      <c r="O151" t="s">
        <v>43</v>
      </c>
      <c r="P151" t="str">
        <f>UPPER(TRIM(SalesData[[#This Row],[Payment Mode]]))</f>
        <v>UPI</v>
      </c>
    </row>
    <row r="152" spans="1:16" x14ac:dyDescent="0.35">
      <c r="A152" s="4" t="s">
        <v>224</v>
      </c>
      <c r="B152" s="6">
        <v>45769</v>
      </c>
      <c r="C152" t="s">
        <v>21</v>
      </c>
      <c r="D152" t="str">
        <f>TRIM(SalesData[[#This Row],[Customer Name]])</f>
        <v>Aarav Sharma</v>
      </c>
      <c r="E152" t="s">
        <v>22</v>
      </c>
      <c r="F152" t="s">
        <v>23</v>
      </c>
      <c r="G152" t="s">
        <v>32</v>
      </c>
      <c r="H152" t="s">
        <v>18</v>
      </c>
      <c r="I152" s="10">
        <v>4</v>
      </c>
      <c r="J152" s="12">
        <v>0</v>
      </c>
      <c r="K152" s="8">
        <v>52414.58</v>
      </c>
      <c r="L152">
        <v>209658.32</v>
      </c>
      <c r="M152" s="8">
        <v>167208.92000000001</v>
      </c>
      <c r="N152" s="8">
        <v>42449.4</v>
      </c>
      <c r="O152" t="s">
        <v>37</v>
      </c>
      <c r="P152" t="str">
        <f>UPPER(TRIM(SalesData[[#This Row],[Payment Mode]]))</f>
        <v>DEBIT CARD</v>
      </c>
    </row>
    <row r="153" spans="1:16" x14ac:dyDescent="0.35">
      <c r="A153" s="4" t="s">
        <v>225</v>
      </c>
      <c r="B153" s="6">
        <v>45769</v>
      </c>
      <c r="C153" t="s">
        <v>39</v>
      </c>
      <c r="D153" t="str">
        <f>TRIM(SalesData[[#This Row],[Customer Name]])</f>
        <v>Akash Wagh</v>
      </c>
      <c r="E153" t="s">
        <v>40</v>
      </c>
      <c r="F153" t="s">
        <v>23</v>
      </c>
      <c r="G153" t="s">
        <v>65</v>
      </c>
      <c r="H153" t="s">
        <v>18</v>
      </c>
      <c r="I153" s="10">
        <v>5</v>
      </c>
      <c r="J153" s="12">
        <v>0.05</v>
      </c>
      <c r="K153" s="8">
        <v>21946.51</v>
      </c>
      <c r="L153">
        <v>104245.92</v>
      </c>
      <c r="M153" s="8">
        <v>71220.800000000003</v>
      </c>
      <c r="N153" s="8">
        <v>33025.120000000003</v>
      </c>
      <c r="O153" t="s">
        <v>37</v>
      </c>
      <c r="P153" t="str">
        <f>UPPER(TRIM(SalesData[[#This Row],[Payment Mode]]))</f>
        <v>DEBIT CARD</v>
      </c>
    </row>
    <row r="154" spans="1:16" x14ac:dyDescent="0.35">
      <c r="A154" s="4" t="s">
        <v>226</v>
      </c>
      <c r="B154" s="6">
        <v>45770</v>
      </c>
      <c r="C154" t="s">
        <v>80</v>
      </c>
      <c r="D154" t="str">
        <f>TRIM(SalesData[[#This Row],[Customer Name]])</f>
        <v>Sagar Mane</v>
      </c>
      <c r="E154" t="s">
        <v>83</v>
      </c>
      <c r="F154" t="s">
        <v>23</v>
      </c>
      <c r="G154" t="s">
        <v>77</v>
      </c>
      <c r="H154" t="s">
        <v>25</v>
      </c>
      <c r="I154" s="10">
        <v>2</v>
      </c>
      <c r="J154" s="12">
        <v>0.1</v>
      </c>
      <c r="K154" s="8">
        <v>7560.17</v>
      </c>
      <c r="L154">
        <v>13608.31</v>
      </c>
      <c r="M154" s="8">
        <v>7041.78</v>
      </c>
      <c r="N154" s="8">
        <v>6566.53</v>
      </c>
      <c r="O154" t="s">
        <v>48</v>
      </c>
      <c r="P154" t="str">
        <f>UPPER(TRIM(SalesData[[#This Row],[Payment Mode]]))</f>
        <v>CREDIT CARD</v>
      </c>
    </row>
    <row r="155" spans="1:16" x14ac:dyDescent="0.35">
      <c r="A155" s="4" t="s">
        <v>227</v>
      </c>
      <c r="B155" s="6">
        <v>45770</v>
      </c>
      <c r="C155" t="s">
        <v>80</v>
      </c>
      <c r="D155" t="str">
        <f>TRIM(SalesData[[#This Row],[Customer Name]])</f>
        <v>Sagar Mane</v>
      </c>
      <c r="E155" t="s">
        <v>16</v>
      </c>
      <c r="F155" t="s">
        <v>16</v>
      </c>
      <c r="G155" t="s">
        <v>107</v>
      </c>
      <c r="H155" t="s">
        <v>36</v>
      </c>
      <c r="I155" s="10">
        <v>1</v>
      </c>
      <c r="J155" s="12">
        <v>0.05</v>
      </c>
      <c r="K155" s="8">
        <v>1886.34</v>
      </c>
      <c r="L155">
        <v>1792.02</v>
      </c>
      <c r="M155" s="8">
        <v>579.91999999999996</v>
      </c>
      <c r="N155" s="8">
        <v>1212.0999999999999</v>
      </c>
      <c r="O155" t="s">
        <v>43</v>
      </c>
      <c r="P155" t="str">
        <f>UPPER(TRIM(SalesData[[#This Row],[Payment Mode]]))</f>
        <v>UPI</v>
      </c>
    </row>
    <row r="156" spans="1:16" x14ac:dyDescent="0.35">
      <c r="A156" s="4" t="s">
        <v>228</v>
      </c>
      <c r="B156" s="6">
        <v>45770</v>
      </c>
      <c r="C156" t="s">
        <v>72</v>
      </c>
      <c r="D156" t="str">
        <f>TRIM(SalesData[[#This Row],[Customer Name]])</f>
        <v>Riya Shah</v>
      </c>
      <c r="E156" t="s">
        <v>22</v>
      </c>
      <c r="F156" t="s">
        <v>23</v>
      </c>
      <c r="G156" t="s">
        <v>77</v>
      </c>
      <c r="H156" t="s">
        <v>25</v>
      </c>
      <c r="I156" s="10">
        <v>3</v>
      </c>
      <c r="J156" s="12">
        <v>0</v>
      </c>
      <c r="K156" s="8">
        <v>7706.65</v>
      </c>
      <c r="L156">
        <v>23119.95</v>
      </c>
      <c r="M156" s="8">
        <v>10450.950000000001</v>
      </c>
      <c r="N156" s="8">
        <v>12669</v>
      </c>
      <c r="O156" t="s">
        <v>37</v>
      </c>
      <c r="P156" t="str">
        <f>UPPER(TRIM(SalesData[[#This Row],[Payment Mode]]))</f>
        <v>DEBIT CARD</v>
      </c>
    </row>
    <row r="157" spans="1:16" x14ac:dyDescent="0.35">
      <c r="A157" s="4" t="s">
        <v>229</v>
      </c>
      <c r="B157" s="6">
        <v>45771</v>
      </c>
      <c r="C157" t="s">
        <v>15</v>
      </c>
      <c r="D157" t="str">
        <f>TRIM(SalesData[[#This Row],[Customer Name]])</f>
        <v>Isha Bhosale</v>
      </c>
      <c r="E157" t="s">
        <v>86</v>
      </c>
      <c r="F157" t="s">
        <v>87</v>
      </c>
      <c r="G157" t="s">
        <v>77</v>
      </c>
      <c r="H157" t="s">
        <v>25</v>
      </c>
      <c r="I157" s="10">
        <v>2</v>
      </c>
      <c r="J157" s="12">
        <v>0</v>
      </c>
      <c r="K157" s="8">
        <v>7404.13</v>
      </c>
      <c r="L157">
        <v>14808.26</v>
      </c>
      <c r="M157" s="8">
        <v>6952.46</v>
      </c>
      <c r="N157" s="8">
        <v>7855.8</v>
      </c>
      <c r="O157" t="s">
        <v>19</v>
      </c>
      <c r="P157" t="str">
        <f>UPPER(TRIM(SalesData[[#This Row],[Payment Mode]]))</f>
        <v>CASH</v>
      </c>
    </row>
    <row r="158" spans="1:16" x14ac:dyDescent="0.35">
      <c r="A158" s="4" t="s">
        <v>230</v>
      </c>
      <c r="B158" s="6">
        <v>45772</v>
      </c>
      <c r="C158" t="s">
        <v>21</v>
      </c>
      <c r="D158" t="str">
        <f>TRIM(SalesData[[#This Row],[Customer Name]])</f>
        <v>Aarav Sharma</v>
      </c>
      <c r="E158" t="s">
        <v>22</v>
      </c>
      <c r="F158" t="s">
        <v>23</v>
      </c>
      <c r="G158" t="s">
        <v>60</v>
      </c>
      <c r="H158" t="s">
        <v>36</v>
      </c>
      <c r="I158" s="10">
        <v>4</v>
      </c>
      <c r="J158" s="12">
        <v>0</v>
      </c>
      <c r="K158" s="8">
        <v>3607.59</v>
      </c>
      <c r="L158">
        <v>14430.36</v>
      </c>
      <c r="M158" s="8">
        <v>4588.3599999999997</v>
      </c>
      <c r="N158" s="8">
        <v>9842</v>
      </c>
      <c r="O158" t="s">
        <v>37</v>
      </c>
      <c r="P158" t="str">
        <f>UPPER(TRIM(SalesData[[#This Row],[Payment Mode]]))</f>
        <v>DEBIT CARD</v>
      </c>
    </row>
    <row r="159" spans="1:16" x14ac:dyDescent="0.35">
      <c r="A159" s="4" t="s">
        <v>231</v>
      </c>
      <c r="B159" s="6">
        <v>45773</v>
      </c>
      <c r="C159" t="s">
        <v>80</v>
      </c>
      <c r="D159" t="str">
        <f>TRIM(SalesData[[#This Row],[Customer Name]])</f>
        <v>Sagar Mane</v>
      </c>
      <c r="E159" t="s">
        <v>22</v>
      </c>
      <c r="F159" t="s">
        <v>23</v>
      </c>
      <c r="G159" t="s">
        <v>77</v>
      </c>
      <c r="H159" t="s">
        <v>25</v>
      </c>
      <c r="I159" s="10">
        <v>5</v>
      </c>
      <c r="J159" s="12">
        <v>0</v>
      </c>
      <c r="K159" s="8">
        <v>7710.27</v>
      </c>
      <c r="L159">
        <v>38551.35</v>
      </c>
      <c r="M159" s="8">
        <v>17458.599999999999</v>
      </c>
      <c r="N159" s="8">
        <v>21092.75</v>
      </c>
      <c r="O159" t="s">
        <v>26</v>
      </c>
      <c r="P159" t="str">
        <f>UPPER(TRIM(SalesData[[#This Row],[Payment Mode]]))</f>
        <v>NET BANKING</v>
      </c>
    </row>
    <row r="160" spans="1:16" x14ac:dyDescent="0.35">
      <c r="A160" s="4" t="s">
        <v>232</v>
      </c>
      <c r="B160" s="6">
        <v>45773</v>
      </c>
      <c r="C160" t="s">
        <v>34</v>
      </c>
      <c r="D160" t="str">
        <f>TRIM(SalesData[[#This Row],[Customer Name]])</f>
        <v>Meera Desai</v>
      </c>
      <c r="E160" t="s">
        <v>46</v>
      </c>
      <c r="F160" t="s">
        <v>23</v>
      </c>
      <c r="G160" t="s">
        <v>60</v>
      </c>
      <c r="H160" t="s">
        <v>36</v>
      </c>
      <c r="I160" s="10">
        <v>4</v>
      </c>
      <c r="J160" s="12">
        <v>0.05</v>
      </c>
      <c r="K160" s="8">
        <v>3396.71</v>
      </c>
      <c r="L160">
        <v>12907.5</v>
      </c>
      <c r="M160" s="8">
        <v>4981.3599999999997</v>
      </c>
      <c r="N160" s="8">
        <v>7926.14</v>
      </c>
      <c r="O160" t="s">
        <v>37</v>
      </c>
      <c r="P160" t="str">
        <f>UPPER(TRIM(SalesData[[#This Row],[Payment Mode]]))</f>
        <v>DEBIT CARD</v>
      </c>
    </row>
    <row r="161" spans="1:16" x14ac:dyDescent="0.35">
      <c r="A161" s="4" t="s">
        <v>233</v>
      </c>
      <c r="B161" s="6">
        <v>45773</v>
      </c>
      <c r="C161" t="s">
        <v>30</v>
      </c>
      <c r="D161" t="str">
        <f>TRIM(SalesData[[#This Row],[Customer Name]])</f>
        <v>Swati Kale</v>
      </c>
      <c r="E161" t="s">
        <v>83</v>
      </c>
      <c r="F161" t="s">
        <v>23</v>
      </c>
      <c r="G161" t="s">
        <v>35</v>
      </c>
      <c r="H161" t="s">
        <v>36</v>
      </c>
      <c r="I161" s="10">
        <v>4</v>
      </c>
      <c r="J161" s="12">
        <v>0</v>
      </c>
      <c r="K161" s="8">
        <v>1190.8</v>
      </c>
      <c r="L161">
        <v>4763.2</v>
      </c>
      <c r="M161" s="8">
        <v>1341.84</v>
      </c>
      <c r="N161" s="8">
        <v>3421.36</v>
      </c>
      <c r="O161" t="s">
        <v>37</v>
      </c>
      <c r="P161" t="str">
        <f>UPPER(TRIM(SalesData[[#This Row],[Payment Mode]]))</f>
        <v>DEBIT CARD</v>
      </c>
    </row>
    <row r="162" spans="1:16" x14ac:dyDescent="0.35">
      <c r="A162" s="4" t="s">
        <v>234</v>
      </c>
      <c r="B162" s="6">
        <v>45774</v>
      </c>
      <c r="C162" t="s">
        <v>34</v>
      </c>
      <c r="D162" t="str">
        <f>TRIM(SalesData[[#This Row],[Customer Name]])</f>
        <v>Meera Desai</v>
      </c>
      <c r="E162" t="s">
        <v>73</v>
      </c>
      <c r="F162" t="s">
        <v>74</v>
      </c>
      <c r="G162" t="s">
        <v>17</v>
      </c>
      <c r="H162" t="s">
        <v>18</v>
      </c>
      <c r="I162" s="10">
        <v>1</v>
      </c>
      <c r="J162" s="12">
        <v>0</v>
      </c>
      <c r="K162" s="8">
        <v>11832.45</v>
      </c>
      <c r="L162">
        <v>11832.45</v>
      </c>
      <c r="M162" s="8">
        <v>6219.53</v>
      </c>
      <c r="N162" s="8">
        <v>5612.92</v>
      </c>
      <c r="O162" t="s">
        <v>19</v>
      </c>
      <c r="P162" t="str">
        <f>UPPER(TRIM(SalesData[[#This Row],[Payment Mode]]))</f>
        <v>CASH</v>
      </c>
    </row>
    <row r="163" spans="1:16" x14ac:dyDescent="0.35">
      <c r="A163" s="4" t="s">
        <v>235</v>
      </c>
      <c r="B163" s="6">
        <v>45774</v>
      </c>
      <c r="C163" t="s">
        <v>116</v>
      </c>
      <c r="D163" t="str">
        <f>TRIM(SalesData[[#This Row],[Customer Name]])</f>
        <v>Sneha Kulkarni</v>
      </c>
      <c r="E163" t="s">
        <v>22</v>
      </c>
      <c r="F163" t="s">
        <v>23</v>
      </c>
      <c r="G163" t="s">
        <v>41</v>
      </c>
      <c r="H163" t="s">
        <v>42</v>
      </c>
      <c r="I163" s="10">
        <v>5</v>
      </c>
      <c r="J163" s="12">
        <v>0.05</v>
      </c>
      <c r="K163" s="8">
        <v>1772.91</v>
      </c>
      <c r="L163">
        <v>8421.32</v>
      </c>
      <c r="M163" s="8">
        <v>3364.95</v>
      </c>
      <c r="N163" s="8">
        <v>5056.37</v>
      </c>
      <c r="O163" t="s">
        <v>48</v>
      </c>
      <c r="P163" t="str">
        <f>UPPER(TRIM(SalesData[[#This Row],[Payment Mode]]))</f>
        <v>CREDIT CARD</v>
      </c>
    </row>
    <row r="164" spans="1:16" x14ac:dyDescent="0.35">
      <c r="A164" s="4" t="s">
        <v>236</v>
      </c>
      <c r="B164" s="6">
        <v>45775</v>
      </c>
      <c r="C164" t="s">
        <v>62</v>
      </c>
      <c r="D164" t="str">
        <f>TRIM(SalesData[[#This Row],[Customer Name]])</f>
        <v>Vivek More</v>
      </c>
      <c r="E164" t="s">
        <v>53</v>
      </c>
      <c r="F164" t="s">
        <v>54</v>
      </c>
      <c r="G164" t="s">
        <v>35</v>
      </c>
      <c r="H164" t="s">
        <v>36</v>
      </c>
      <c r="I164" s="10">
        <v>1</v>
      </c>
      <c r="J164" s="12">
        <v>0</v>
      </c>
      <c r="K164" s="8">
        <v>1203.18</v>
      </c>
      <c r="L164">
        <v>1203.18</v>
      </c>
      <c r="M164" s="8">
        <v>336.43</v>
      </c>
      <c r="N164" s="8">
        <v>866.75</v>
      </c>
      <c r="O164" t="s">
        <v>48</v>
      </c>
      <c r="P164" t="str">
        <f>UPPER(TRIM(SalesData[[#This Row],[Payment Mode]]))</f>
        <v>CREDIT CARD</v>
      </c>
    </row>
    <row r="165" spans="1:16" x14ac:dyDescent="0.35">
      <c r="A165" s="4" t="s">
        <v>237</v>
      </c>
      <c r="B165" s="6">
        <v>45775</v>
      </c>
      <c r="C165" t="s">
        <v>95</v>
      </c>
      <c r="D165" t="str">
        <f>TRIM(SalesData[[#This Row],[Customer Name]])</f>
        <v>Rahul Pawar</v>
      </c>
      <c r="E165" t="s">
        <v>16</v>
      </c>
      <c r="F165" t="s">
        <v>16</v>
      </c>
      <c r="G165" t="s">
        <v>65</v>
      </c>
      <c r="H165" t="s">
        <v>18</v>
      </c>
      <c r="I165" s="10">
        <v>3</v>
      </c>
      <c r="J165" s="12">
        <v>0.1</v>
      </c>
      <c r="K165" s="8">
        <v>22944.3</v>
      </c>
      <c r="L165">
        <v>61949.61</v>
      </c>
      <c r="M165" s="8">
        <v>41601.42</v>
      </c>
      <c r="N165" s="8">
        <v>20348.189999999999</v>
      </c>
      <c r="O165" t="s">
        <v>26</v>
      </c>
      <c r="P165" t="str">
        <f>UPPER(TRIM(SalesData[[#This Row],[Payment Mode]]))</f>
        <v>NET BANKING</v>
      </c>
    </row>
    <row r="166" spans="1:16" x14ac:dyDescent="0.35">
      <c r="A166" s="4" t="s">
        <v>238</v>
      </c>
      <c r="B166" s="6">
        <v>45775</v>
      </c>
      <c r="C166" t="s">
        <v>80</v>
      </c>
      <c r="D166" t="str">
        <f>TRIM(SalesData[[#This Row],[Customer Name]])</f>
        <v>Sagar Mane</v>
      </c>
      <c r="E166" t="s">
        <v>73</v>
      </c>
      <c r="F166" t="s">
        <v>74</v>
      </c>
      <c r="G166" t="s">
        <v>65</v>
      </c>
      <c r="H166" t="s">
        <v>18</v>
      </c>
      <c r="I166" s="10">
        <v>4</v>
      </c>
      <c r="J166" s="12">
        <v>0</v>
      </c>
      <c r="K166" s="8">
        <v>22663.01</v>
      </c>
      <c r="L166">
        <v>90652.04</v>
      </c>
      <c r="M166" s="8">
        <v>57492.88</v>
      </c>
      <c r="N166" s="8">
        <v>33159.160000000003</v>
      </c>
      <c r="O166" t="s">
        <v>43</v>
      </c>
      <c r="P166" t="str">
        <f>UPPER(TRIM(SalesData[[#This Row],[Payment Mode]]))</f>
        <v>UPI</v>
      </c>
    </row>
    <row r="167" spans="1:16" x14ac:dyDescent="0.35">
      <c r="A167" s="4" t="s">
        <v>239</v>
      </c>
      <c r="B167" s="6">
        <v>45775</v>
      </c>
      <c r="C167" t="s">
        <v>34</v>
      </c>
      <c r="D167" t="str">
        <f>TRIM(SalesData[[#This Row],[Customer Name]])</f>
        <v>Meera Desai</v>
      </c>
      <c r="E167" t="s">
        <v>31</v>
      </c>
      <c r="F167" t="s">
        <v>23</v>
      </c>
      <c r="G167" t="s">
        <v>77</v>
      </c>
      <c r="H167" t="s">
        <v>25</v>
      </c>
      <c r="I167" s="10">
        <v>4</v>
      </c>
      <c r="J167" s="12">
        <v>0.15</v>
      </c>
      <c r="K167" s="8">
        <v>7465.34</v>
      </c>
      <c r="L167">
        <v>25382.16</v>
      </c>
      <c r="M167" s="8">
        <v>13630.48</v>
      </c>
      <c r="N167" s="8">
        <v>11751.68</v>
      </c>
      <c r="O167" t="s">
        <v>48</v>
      </c>
      <c r="P167" t="str">
        <f>UPPER(TRIM(SalesData[[#This Row],[Payment Mode]]))</f>
        <v>CREDIT CARD</v>
      </c>
    </row>
    <row r="168" spans="1:16" x14ac:dyDescent="0.35">
      <c r="A168" s="4" t="s">
        <v>240</v>
      </c>
      <c r="B168" s="6">
        <v>45777</v>
      </c>
      <c r="C168" t="s">
        <v>168</v>
      </c>
      <c r="D168" t="str">
        <f>TRIM(SalesData[[#This Row],[Customer Name]])</f>
        <v>Kavita Singh</v>
      </c>
      <c r="E168" t="s">
        <v>28</v>
      </c>
      <c r="F168" t="s">
        <v>23</v>
      </c>
      <c r="G168" t="s">
        <v>41</v>
      </c>
      <c r="H168" t="s">
        <v>42</v>
      </c>
      <c r="I168" s="10">
        <v>3</v>
      </c>
      <c r="J168" s="12">
        <v>0.05</v>
      </c>
      <c r="K168" s="8">
        <v>1829.48</v>
      </c>
      <c r="L168">
        <v>5214.0200000000004</v>
      </c>
      <c r="M168" s="8">
        <v>2094.66</v>
      </c>
      <c r="N168" s="8">
        <v>3119.36</v>
      </c>
      <c r="O168" t="s">
        <v>19</v>
      </c>
      <c r="P168" t="str">
        <f>UPPER(TRIM(SalesData[[#This Row],[Payment Mode]]))</f>
        <v>CASH</v>
      </c>
    </row>
    <row r="169" spans="1:16" x14ac:dyDescent="0.35">
      <c r="A169" s="4" t="s">
        <v>241</v>
      </c>
      <c r="B169" s="6">
        <v>45777</v>
      </c>
      <c r="C169" t="s">
        <v>30</v>
      </c>
      <c r="D169" t="str">
        <f>TRIM(SalesData[[#This Row],[Customer Name]])</f>
        <v>Swati Kale</v>
      </c>
      <c r="E169" t="s">
        <v>46</v>
      </c>
      <c r="F169" t="s">
        <v>23</v>
      </c>
      <c r="G169" t="s">
        <v>101</v>
      </c>
      <c r="H169" t="s">
        <v>18</v>
      </c>
      <c r="I169" s="10">
        <v>4</v>
      </c>
      <c r="J169" s="12">
        <v>0.1</v>
      </c>
      <c r="K169" s="8">
        <v>18679.07</v>
      </c>
      <c r="L169">
        <v>67244.649999999994</v>
      </c>
      <c r="M169" s="8">
        <v>31457.32</v>
      </c>
      <c r="N169" s="8">
        <v>35787.33</v>
      </c>
      <c r="O169" t="s">
        <v>26</v>
      </c>
      <c r="P169" t="str">
        <f>UPPER(TRIM(SalesData[[#This Row],[Payment Mode]]))</f>
        <v>NET BANKING</v>
      </c>
    </row>
    <row r="170" spans="1:16" x14ac:dyDescent="0.35">
      <c r="A170" s="4" t="s">
        <v>242</v>
      </c>
      <c r="B170" s="6">
        <v>45778</v>
      </c>
      <c r="C170" t="s">
        <v>21</v>
      </c>
      <c r="D170" t="str">
        <f>TRIM(SalesData[[#This Row],[Customer Name]])</f>
        <v>Aarav Sharma</v>
      </c>
      <c r="E170" t="s">
        <v>16</v>
      </c>
      <c r="F170" t="s">
        <v>16</v>
      </c>
      <c r="G170" t="s">
        <v>24</v>
      </c>
      <c r="H170" t="s">
        <v>25</v>
      </c>
      <c r="I170" s="10">
        <v>2</v>
      </c>
      <c r="J170" s="12">
        <v>0.05</v>
      </c>
      <c r="K170" s="8">
        <v>8856.33</v>
      </c>
      <c r="L170">
        <v>16827.03</v>
      </c>
      <c r="M170" s="8">
        <v>9396.4</v>
      </c>
      <c r="N170" s="8">
        <v>7430.63</v>
      </c>
      <c r="O170" t="s">
        <v>37</v>
      </c>
      <c r="P170" t="str">
        <f>UPPER(TRIM(SalesData[[#This Row],[Payment Mode]]))</f>
        <v>DEBIT CARD</v>
      </c>
    </row>
    <row r="171" spans="1:16" x14ac:dyDescent="0.35">
      <c r="A171" s="4" t="s">
        <v>243</v>
      </c>
      <c r="B171" s="6">
        <v>45779</v>
      </c>
      <c r="C171" t="s">
        <v>95</v>
      </c>
      <c r="D171" t="str">
        <f>TRIM(SalesData[[#This Row],[Customer Name]])</f>
        <v>Rahul Pawar</v>
      </c>
      <c r="E171" t="s">
        <v>31</v>
      </c>
      <c r="F171" t="s">
        <v>23</v>
      </c>
      <c r="G171" t="s">
        <v>107</v>
      </c>
      <c r="H171" t="s">
        <v>36</v>
      </c>
      <c r="I171" s="10">
        <v>4</v>
      </c>
      <c r="J171" s="12">
        <v>0</v>
      </c>
      <c r="K171" s="8">
        <v>1869.65</v>
      </c>
      <c r="L171">
        <v>7478.6</v>
      </c>
      <c r="M171" s="8">
        <v>2435</v>
      </c>
      <c r="N171" s="8">
        <v>5043.6000000000004</v>
      </c>
      <c r="O171" t="s">
        <v>43</v>
      </c>
      <c r="P171" t="str">
        <f>UPPER(TRIM(SalesData[[#This Row],[Payment Mode]]))</f>
        <v>UPI</v>
      </c>
    </row>
    <row r="172" spans="1:16" x14ac:dyDescent="0.35">
      <c r="A172" s="4" t="s">
        <v>244</v>
      </c>
      <c r="B172" s="6">
        <v>45779</v>
      </c>
      <c r="C172" t="s">
        <v>89</v>
      </c>
      <c r="D172" t="str">
        <f>TRIM(SalesData[[#This Row],[Customer Name]])</f>
        <v>Kunal Thakur</v>
      </c>
      <c r="E172" t="s">
        <v>53</v>
      </c>
      <c r="F172" t="s">
        <v>54</v>
      </c>
      <c r="G172" t="s">
        <v>24</v>
      </c>
      <c r="H172" t="s">
        <v>25</v>
      </c>
      <c r="I172" s="10">
        <v>4</v>
      </c>
      <c r="J172" s="12">
        <v>0.15</v>
      </c>
      <c r="K172" s="8">
        <v>9208.7900000000009</v>
      </c>
      <c r="L172">
        <v>31309.89</v>
      </c>
      <c r="M172" s="8">
        <v>18177.599999999999</v>
      </c>
      <c r="N172" s="8">
        <v>13132.29</v>
      </c>
      <c r="O172" t="s">
        <v>37</v>
      </c>
      <c r="P172" t="str">
        <f>UPPER(TRIM(SalesData[[#This Row],[Payment Mode]]))</f>
        <v>DEBIT CARD</v>
      </c>
    </row>
    <row r="173" spans="1:16" x14ac:dyDescent="0.35">
      <c r="A173" s="4" t="s">
        <v>245</v>
      </c>
      <c r="B173" s="6">
        <v>45780</v>
      </c>
      <c r="C173" t="s">
        <v>64</v>
      </c>
      <c r="D173" t="str">
        <f>TRIM(SalesData[[#This Row],[Customer Name]])</f>
        <v>Neha Jadhav</v>
      </c>
      <c r="E173" t="s">
        <v>31</v>
      </c>
      <c r="F173" t="s">
        <v>23</v>
      </c>
      <c r="G173" t="s">
        <v>77</v>
      </c>
      <c r="H173" t="s">
        <v>25</v>
      </c>
      <c r="I173" s="10">
        <v>3</v>
      </c>
      <c r="J173" s="12">
        <v>0.05</v>
      </c>
      <c r="K173" s="8">
        <v>7557.78</v>
      </c>
      <c r="L173">
        <v>21539.67</v>
      </c>
      <c r="M173" s="8">
        <v>10707.63</v>
      </c>
      <c r="N173" s="8">
        <v>10832.04</v>
      </c>
      <c r="O173" t="s">
        <v>48</v>
      </c>
      <c r="P173" t="str">
        <f>UPPER(TRIM(SalesData[[#This Row],[Payment Mode]]))</f>
        <v>CREDIT CARD</v>
      </c>
    </row>
    <row r="174" spans="1:16" x14ac:dyDescent="0.35">
      <c r="A174" s="4" t="s">
        <v>246</v>
      </c>
      <c r="B174" s="6">
        <v>45781</v>
      </c>
      <c r="C174" t="s">
        <v>67</v>
      </c>
      <c r="D174" t="str">
        <f>TRIM(SalesData[[#This Row],[Customer Name]])</f>
        <v>Anjali Chavan</v>
      </c>
      <c r="E174" t="s">
        <v>22</v>
      </c>
      <c r="F174" t="s">
        <v>23</v>
      </c>
      <c r="G174" t="s">
        <v>24</v>
      </c>
      <c r="H174" t="s">
        <v>25</v>
      </c>
      <c r="I174" s="10">
        <v>3</v>
      </c>
      <c r="J174" s="12">
        <v>0.05</v>
      </c>
      <c r="K174" s="8">
        <v>9015.11</v>
      </c>
      <c r="L174">
        <v>25693.06</v>
      </c>
      <c r="M174" s="8">
        <v>13824.21</v>
      </c>
      <c r="N174" s="8">
        <v>11868.85</v>
      </c>
      <c r="O174" t="s">
        <v>48</v>
      </c>
      <c r="P174" t="str">
        <f>UPPER(TRIM(SalesData[[#This Row],[Payment Mode]]))</f>
        <v>CREDIT CARD</v>
      </c>
    </row>
    <row r="175" spans="1:16" x14ac:dyDescent="0.35">
      <c r="A175" s="4" t="s">
        <v>247</v>
      </c>
      <c r="B175" s="6">
        <v>45781</v>
      </c>
      <c r="C175" t="s">
        <v>45</v>
      </c>
      <c r="D175" t="str">
        <f>TRIM(SalesData[[#This Row],[Customer Name]])</f>
        <v>Nikhil Gupta</v>
      </c>
      <c r="E175" t="s">
        <v>22</v>
      </c>
      <c r="F175" t="s">
        <v>23</v>
      </c>
      <c r="G175" t="s">
        <v>17</v>
      </c>
      <c r="H175" t="s">
        <v>18</v>
      </c>
      <c r="I175" s="10">
        <v>1</v>
      </c>
      <c r="J175" s="12">
        <v>0</v>
      </c>
      <c r="K175" s="8">
        <v>12517.91</v>
      </c>
      <c r="L175">
        <v>12517.91</v>
      </c>
      <c r="M175" s="8">
        <v>6652.89</v>
      </c>
      <c r="N175" s="8">
        <v>5865.02</v>
      </c>
      <c r="O175" t="s">
        <v>37</v>
      </c>
      <c r="P175" t="str">
        <f>UPPER(TRIM(SalesData[[#This Row],[Payment Mode]]))</f>
        <v>DEBIT CARD</v>
      </c>
    </row>
    <row r="176" spans="1:16" x14ac:dyDescent="0.35">
      <c r="A176" s="4" t="s">
        <v>248</v>
      </c>
      <c r="B176" s="6">
        <v>45782</v>
      </c>
      <c r="C176" t="s">
        <v>93</v>
      </c>
      <c r="D176" t="str">
        <f>TRIM(SalesData[[#This Row],[Customer Name]])</f>
        <v>Aditya Joshi</v>
      </c>
      <c r="E176" t="s">
        <v>86</v>
      </c>
      <c r="F176" t="s">
        <v>87</v>
      </c>
      <c r="G176" t="s">
        <v>65</v>
      </c>
      <c r="H176" t="s">
        <v>18</v>
      </c>
      <c r="I176" s="10">
        <v>3</v>
      </c>
      <c r="J176" s="12">
        <v>0</v>
      </c>
      <c r="K176" s="8">
        <v>21973.27</v>
      </c>
      <c r="L176">
        <v>65919.81</v>
      </c>
      <c r="M176" s="8">
        <v>40446.21</v>
      </c>
      <c r="N176" s="8">
        <v>25473.599999999999</v>
      </c>
      <c r="O176" t="s">
        <v>48</v>
      </c>
      <c r="P176" t="str">
        <f>UPPER(TRIM(SalesData[[#This Row],[Payment Mode]]))</f>
        <v>CREDIT CARD</v>
      </c>
    </row>
    <row r="177" spans="1:16" x14ac:dyDescent="0.35">
      <c r="A177" s="4" t="s">
        <v>249</v>
      </c>
      <c r="B177" s="6">
        <v>45782</v>
      </c>
      <c r="C177" t="s">
        <v>59</v>
      </c>
      <c r="D177" t="str">
        <f>TRIM(SalesData[[#This Row],[Customer Name]])</f>
        <v>Rohan Deshmukh</v>
      </c>
      <c r="E177" t="s">
        <v>105</v>
      </c>
      <c r="F177" t="s">
        <v>106</v>
      </c>
      <c r="G177" t="s">
        <v>47</v>
      </c>
      <c r="H177" t="s">
        <v>25</v>
      </c>
      <c r="I177" s="10">
        <v>5</v>
      </c>
      <c r="J177" s="12">
        <v>0.15</v>
      </c>
      <c r="K177" s="8">
        <v>6034.63</v>
      </c>
      <c r="L177">
        <v>25647.18</v>
      </c>
      <c r="M177" s="8">
        <v>12309.1</v>
      </c>
      <c r="N177" s="8">
        <v>13338.08</v>
      </c>
      <c r="O177" t="s">
        <v>26</v>
      </c>
      <c r="P177" t="str">
        <f>UPPER(TRIM(SalesData[[#This Row],[Payment Mode]]))</f>
        <v>NET BANKING</v>
      </c>
    </row>
    <row r="178" spans="1:16" x14ac:dyDescent="0.35">
      <c r="A178" s="4" t="s">
        <v>250</v>
      </c>
      <c r="B178" s="6">
        <v>45782</v>
      </c>
      <c r="C178" t="s">
        <v>168</v>
      </c>
      <c r="D178" t="str">
        <f>TRIM(SalesData[[#This Row],[Customer Name]])</f>
        <v>Kavita Singh</v>
      </c>
      <c r="E178" t="s">
        <v>46</v>
      </c>
      <c r="F178" t="s">
        <v>23</v>
      </c>
      <c r="G178" t="s">
        <v>65</v>
      </c>
      <c r="H178" t="s">
        <v>18</v>
      </c>
      <c r="I178" s="10">
        <v>4</v>
      </c>
      <c r="J178" s="12">
        <v>0</v>
      </c>
      <c r="K178" s="8">
        <v>21509.02</v>
      </c>
      <c r="L178">
        <v>86036.08</v>
      </c>
      <c r="M178" s="8">
        <v>56517.16</v>
      </c>
      <c r="N178" s="8">
        <v>29518.92</v>
      </c>
      <c r="O178" t="s">
        <v>37</v>
      </c>
      <c r="P178" t="str">
        <f>UPPER(TRIM(SalesData[[#This Row],[Payment Mode]]))</f>
        <v>DEBIT CARD</v>
      </c>
    </row>
    <row r="179" spans="1:16" x14ac:dyDescent="0.35">
      <c r="A179" s="4" t="s">
        <v>251</v>
      </c>
      <c r="B179" s="6">
        <v>45782</v>
      </c>
      <c r="C179" t="s">
        <v>80</v>
      </c>
      <c r="D179" t="str">
        <f>TRIM(SalesData[[#This Row],[Customer Name]])</f>
        <v>Sagar Mane</v>
      </c>
      <c r="E179" t="s">
        <v>28</v>
      </c>
      <c r="F179" t="s">
        <v>23</v>
      </c>
      <c r="G179" t="s">
        <v>77</v>
      </c>
      <c r="H179" t="s">
        <v>25</v>
      </c>
      <c r="I179" s="10">
        <v>5</v>
      </c>
      <c r="J179" s="12">
        <v>0</v>
      </c>
      <c r="K179" s="8">
        <v>7222.26</v>
      </c>
      <c r="L179">
        <v>36111.300000000003</v>
      </c>
      <c r="M179" s="8">
        <v>17073.8</v>
      </c>
      <c r="N179" s="8">
        <v>19037.5</v>
      </c>
      <c r="O179" t="s">
        <v>19</v>
      </c>
      <c r="P179" t="str">
        <f>UPPER(TRIM(SalesData[[#This Row],[Payment Mode]]))</f>
        <v>CASH</v>
      </c>
    </row>
    <row r="180" spans="1:16" x14ac:dyDescent="0.35">
      <c r="A180" s="4" t="s">
        <v>252</v>
      </c>
      <c r="B180" s="6">
        <v>45783</v>
      </c>
      <c r="C180" t="s">
        <v>95</v>
      </c>
      <c r="D180" t="str">
        <f>TRIM(SalesData[[#This Row],[Customer Name]])</f>
        <v>Rahul Pawar</v>
      </c>
      <c r="E180" t="s">
        <v>83</v>
      </c>
      <c r="F180" t="s">
        <v>23</v>
      </c>
      <c r="G180" t="s">
        <v>32</v>
      </c>
      <c r="H180" t="s">
        <v>18</v>
      </c>
      <c r="I180" s="10">
        <v>5</v>
      </c>
      <c r="J180" s="12">
        <v>0.05</v>
      </c>
      <c r="K180" s="8">
        <v>51911.44</v>
      </c>
      <c r="L180">
        <v>246579.34</v>
      </c>
      <c r="M180" s="8">
        <v>202303.1</v>
      </c>
      <c r="N180" s="8">
        <v>44276.24</v>
      </c>
      <c r="O180" t="s">
        <v>48</v>
      </c>
      <c r="P180" t="str">
        <f>UPPER(TRIM(SalesData[[#This Row],[Payment Mode]]))</f>
        <v>CREDIT CARD</v>
      </c>
    </row>
    <row r="181" spans="1:16" x14ac:dyDescent="0.35">
      <c r="A181" s="4" t="s">
        <v>253</v>
      </c>
      <c r="B181" s="6">
        <v>45783</v>
      </c>
      <c r="C181" t="s">
        <v>50</v>
      </c>
      <c r="D181" t="str">
        <f>TRIM(SalesData[[#This Row],[Customer Name]])</f>
        <v>Priya Patil</v>
      </c>
      <c r="E181" t="s">
        <v>31</v>
      </c>
      <c r="F181" t="s">
        <v>23</v>
      </c>
      <c r="G181" t="s">
        <v>65</v>
      </c>
      <c r="H181" t="s">
        <v>18</v>
      </c>
      <c r="I181" s="10">
        <v>4</v>
      </c>
      <c r="J181" s="12">
        <v>0</v>
      </c>
      <c r="K181" s="8">
        <v>21513.02</v>
      </c>
      <c r="L181">
        <v>86052.08</v>
      </c>
      <c r="M181" s="8">
        <v>58286.28</v>
      </c>
      <c r="N181" s="8">
        <v>27765.8</v>
      </c>
      <c r="O181" t="s">
        <v>26</v>
      </c>
      <c r="P181" t="str">
        <f>UPPER(TRIM(SalesData[[#This Row],[Payment Mode]]))</f>
        <v>NET BANKING</v>
      </c>
    </row>
    <row r="182" spans="1:16" x14ac:dyDescent="0.35">
      <c r="A182" s="4" t="s">
        <v>254</v>
      </c>
      <c r="B182" s="6">
        <v>45784</v>
      </c>
      <c r="C182" t="s">
        <v>45</v>
      </c>
      <c r="D182" t="str">
        <f>TRIM(SalesData[[#This Row],[Customer Name]])</f>
        <v>Nikhil Gupta</v>
      </c>
      <c r="E182" t="s">
        <v>40</v>
      </c>
      <c r="F182" t="s">
        <v>23</v>
      </c>
      <c r="G182" t="s">
        <v>17</v>
      </c>
      <c r="H182" t="s">
        <v>18</v>
      </c>
      <c r="I182" s="10">
        <v>2</v>
      </c>
      <c r="J182" s="12">
        <v>0.05</v>
      </c>
      <c r="K182" s="8">
        <v>11792.45</v>
      </c>
      <c r="L182">
        <v>22405.66</v>
      </c>
      <c r="M182" s="8">
        <v>13507.08</v>
      </c>
      <c r="N182" s="8">
        <v>8898.58</v>
      </c>
      <c r="O182" t="s">
        <v>19</v>
      </c>
      <c r="P182" t="str">
        <f>UPPER(TRIM(SalesData[[#This Row],[Payment Mode]]))</f>
        <v>CASH</v>
      </c>
    </row>
    <row r="183" spans="1:16" x14ac:dyDescent="0.35">
      <c r="A183" s="4" t="s">
        <v>255</v>
      </c>
      <c r="B183" s="6">
        <v>45785</v>
      </c>
      <c r="C183" t="s">
        <v>15</v>
      </c>
      <c r="D183" t="str">
        <f>TRIM(SalesData[[#This Row],[Customer Name]])</f>
        <v>Isha Bhosale</v>
      </c>
      <c r="E183" t="s">
        <v>53</v>
      </c>
      <c r="F183" t="s">
        <v>54</v>
      </c>
      <c r="G183" t="s">
        <v>32</v>
      </c>
      <c r="H183" t="s">
        <v>18</v>
      </c>
      <c r="I183" s="10">
        <v>5</v>
      </c>
      <c r="J183" s="12">
        <v>0.1</v>
      </c>
      <c r="K183" s="8">
        <v>53214.13</v>
      </c>
      <c r="L183">
        <v>239463.58</v>
      </c>
      <c r="M183" s="8">
        <v>201940</v>
      </c>
      <c r="N183" s="8">
        <v>37523.58</v>
      </c>
      <c r="O183" t="s">
        <v>26</v>
      </c>
      <c r="P183" t="str">
        <f>UPPER(TRIM(SalesData[[#This Row],[Payment Mode]]))</f>
        <v>NET BANKING</v>
      </c>
    </row>
    <row r="184" spans="1:16" x14ac:dyDescent="0.35">
      <c r="A184" s="4" t="s">
        <v>256</v>
      </c>
      <c r="B184" s="6">
        <v>45790</v>
      </c>
      <c r="C184" t="s">
        <v>59</v>
      </c>
      <c r="D184" t="str">
        <f>TRIM(SalesData[[#This Row],[Customer Name]])</f>
        <v>Rohan Deshmukh</v>
      </c>
      <c r="E184" t="s">
        <v>86</v>
      </c>
      <c r="F184" t="s">
        <v>87</v>
      </c>
      <c r="G184" t="s">
        <v>24</v>
      </c>
      <c r="H184" t="s">
        <v>25</v>
      </c>
      <c r="I184" s="10">
        <v>5</v>
      </c>
      <c r="J184" s="12">
        <v>0.1</v>
      </c>
      <c r="K184" s="8">
        <v>9426.82</v>
      </c>
      <c r="L184">
        <v>42420.69</v>
      </c>
      <c r="M184" s="8">
        <v>23615.85</v>
      </c>
      <c r="N184" s="8">
        <v>18804.84</v>
      </c>
      <c r="O184" t="s">
        <v>26</v>
      </c>
      <c r="P184" t="str">
        <f>UPPER(TRIM(SalesData[[#This Row],[Payment Mode]]))</f>
        <v>NET BANKING</v>
      </c>
    </row>
    <row r="185" spans="1:16" x14ac:dyDescent="0.35">
      <c r="A185" s="4" t="s">
        <v>257</v>
      </c>
      <c r="B185" s="6">
        <v>45790</v>
      </c>
      <c r="C185" t="s">
        <v>15</v>
      </c>
      <c r="D185" t="str">
        <f>TRIM(SalesData[[#This Row],[Customer Name]])</f>
        <v>Isha Bhosale</v>
      </c>
      <c r="E185" t="s">
        <v>28</v>
      </c>
      <c r="F185" t="s">
        <v>23</v>
      </c>
      <c r="G185" t="s">
        <v>24</v>
      </c>
      <c r="H185" t="s">
        <v>25</v>
      </c>
      <c r="I185" s="10">
        <v>3</v>
      </c>
      <c r="J185" s="12">
        <v>0.05</v>
      </c>
      <c r="K185" s="8">
        <v>9271.92</v>
      </c>
      <c r="L185">
        <v>26424.97</v>
      </c>
      <c r="M185" s="8">
        <v>12967.26</v>
      </c>
      <c r="N185" s="8">
        <v>13457.71</v>
      </c>
      <c r="O185" t="s">
        <v>26</v>
      </c>
      <c r="P185" t="str">
        <f>UPPER(TRIM(SalesData[[#This Row],[Payment Mode]]))</f>
        <v>NET BANKING</v>
      </c>
    </row>
    <row r="186" spans="1:16" x14ac:dyDescent="0.35">
      <c r="A186" s="4" t="s">
        <v>258</v>
      </c>
      <c r="B186" s="6">
        <v>45791</v>
      </c>
      <c r="C186" t="s">
        <v>95</v>
      </c>
      <c r="D186" t="str">
        <f>TRIM(SalesData[[#This Row],[Customer Name]])</f>
        <v>Rahul Pawar</v>
      </c>
      <c r="E186" t="s">
        <v>40</v>
      </c>
      <c r="F186" t="s">
        <v>23</v>
      </c>
      <c r="G186" t="s">
        <v>35</v>
      </c>
      <c r="H186" t="s">
        <v>36</v>
      </c>
      <c r="I186" s="10">
        <v>5</v>
      </c>
      <c r="J186" s="12">
        <v>0</v>
      </c>
      <c r="K186" s="8">
        <v>1185.9100000000001</v>
      </c>
      <c r="L186">
        <v>5929.55</v>
      </c>
      <c r="M186" s="8">
        <v>1726.85</v>
      </c>
      <c r="N186" s="8">
        <v>4202.7</v>
      </c>
      <c r="O186" t="s">
        <v>26</v>
      </c>
      <c r="P186" t="str">
        <f>UPPER(TRIM(SalesData[[#This Row],[Payment Mode]]))</f>
        <v>NET BANKING</v>
      </c>
    </row>
    <row r="187" spans="1:16" x14ac:dyDescent="0.35">
      <c r="A187" s="4" t="s">
        <v>259</v>
      </c>
      <c r="B187" s="6">
        <v>45791</v>
      </c>
      <c r="C187" t="s">
        <v>45</v>
      </c>
      <c r="D187" t="str">
        <f>TRIM(SalesData[[#This Row],[Customer Name]])</f>
        <v>Nikhil Gupta</v>
      </c>
      <c r="E187" t="s">
        <v>31</v>
      </c>
      <c r="F187" t="s">
        <v>23</v>
      </c>
      <c r="G187" t="s">
        <v>60</v>
      </c>
      <c r="H187" t="s">
        <v>36</v>
      </c>
      <c r="I187" s="10">
        <v>3</v>
      </c>
      <c r="J187" s="12">
        <v>0.05</v>
      </c>
      <c r="K187" s="8">
        <v>3418.59</v>
      </c>
      <c r="L187">
        <v>9742.98</v>
      </c>
      <c r="M187" s="8">
        <v>3425.43</v>
      </c>
      <c r="N187" s="8">
        <v>6317.55</v>
      </c>
      <c r="O187" t="s">
        <v>37</v>
      </c>
      <c r="P187" t="str">
        <f>UPPER(TRIM(SalesData[[#This Row],[Payment Mode]]))</f>
        <v>DEBIT CARD</v>
      </c>
    </row>
    <row r="188" spans="1:16" x14ac:dyDescent="0.35">
      <c r="A188" s="4" t="s">
        <v>260</v>
      </c>
      <c r="B188" s="6">
        <v>45791</v>
      </c>
      <c r="C188" t="s">
        <v>168</v>
      </c>
      <c r="D188" t="str">
        <f>TRIM(SalesData[[#This Row],[Customer Name]])</f>
        <v>Kavita Singh</v>
      </c>
      <c r="E188" t="s">
        <v>73</v>
      </c>
      <c r="F188" t="s">
        <v>74</v>
      </c>
      <c r="G188" t="s">
        <v>24</v>
      </c>
      <c r="H188" t="s">
        <v>25</v>
      </c>
      <c r="I188" s="10">
        <v>3</v>
      </c>
      <c r="J188" s="12">
        <v>0.05</v>
      </c>
      <c r="K188" s="8">
        <v>9342.42</v>
      </c>
      <c r="L188">
        <v>26625.9</v>
      </c>
      <c r="M188" s="8">
        <v>13667.88</v>
      </c>
      <c r="N188" s="8">
        <v>12958.02</v>
      </c>
      <c r="O188" t="s">
        <v>19</v>
      </c>
      <c r="P188" t="str">
        <f>UPPER(TRIM(SalesData[[#This Row],[Payment Mode]]))</f>
        <v>CASH</v>
      </c>
    </row>
    <row r="189" spans="1:16" x14ac:dyDescent="0.35">
      <c r="A189" s="4" t="s">
        <v>261</v>
      </c>
      <c r="B189" s="6">
        <v>45792</v>
      </c>
      <c r="C189" t="s">
        <v>59</v>
      </c>
      <c r="D189" t="str">
        <f>TRIM(SalesData[[#This Row],[Customer Name]])</f>
        <v>Rohan Deshmukh</v>
      </c>
      <c r="E189" t="s">
        <v>83</v>
      </c>
      <c r="F189" t="s">
        <v>23</v>
      </c>
      <c r="G189" t="s">
        <v>41</v>
      </c>
      <c r="H189" t="s">
        <v>42</v>
      </c>
      <c r="I189" s="10">
        <v>4</v>
      </c>
      <c r="J189" s="12">
        <v>0.05</v>
      </c>
      <c r="K189" s="8">
        <v>1752.7</v>
      </c>
      <c r="L189">
        <v>6660.26</v>
      </c>
      <c r="M189" s="8">
        <v>2751.12</v>
      </c>
      <c r="N189" s="8">
        <v>3909.14</v>
      </c>
      <c r="O189" t="s">
        <v>43</v>
      </c>
      <c r="P189" t="str">
        <f>UPPER(TRIM(SalesData[[#This Row],[Payment Mode]]))</f>
        <v>UPI</v>
      </c>
    </row>
    <row r="190" spans="1:16" x14ac:dyDescent="0.35">
      <c r="A190" s="4" t="s">
        <v>262</v>
      </c>
      <c r="B190" s="6">
        <v>45792</v>
      </c>
      <c r="C190" t="s">
        <v>116</v>
      </c>
      <c r="D190" t="str">
        <f>TRIM(SalesData[[#This Row],[Customer Name]])</f>
        <v>Sneha Kulkarni</v>
      </c>
      <c r="E190" t="s">
        <v>16</v>
      </c>
      <c r="F190" t="s">
        <v>16</v>
      </c>
      <c r="G190" t="s">
        <v>41</v>
      </c>
      <c r="H190" t="s">
        <v>42</v>
      </c>
      <c r="I190" s="10">
        <v>1</v>
      </c>
      <c r="J190" s="12">
        <v>0.05</v>
      </c>
      <c r="K190" s="8">
        <v>1750.19</v>
      </c>
      <c r="L190">
        <v>1662.68</v>
      </c>
      <c r="M190" s="8">
        <v>709.93</v>
      </c>
      <c r="N190" s="8">
        <v>952.75</v>
      </c>
      <c r="O190" t="s">
        <v>37</v>
      </c>
      <c r="P190" t="str">
        <f>UPPER(TRIM(SalesData[[#This Row],[Payment Mode]]))</f>
        <v>DEBIT CARD</v>
      </c>
    </row>
    <row r="191" spans="1:16" x14ac:dyDescent="0.35">
      <c r="A191" s="4" t="s">
        <v>263</v>
      </c>
      <c r="B191" s="6">
        <v>45793</v>
      </c>
      <c r="C191" t="s">
        <v>15</v>
      </c>
      <c r="D191" t="str">
        <f>TRIM(SalesData[[#This Row],[Customer Name]])</f>
        <v>Isha Bhosale</v>
      </c>
      <c r="E191" t="s">
        <v>28</v>
      </c>
      <c r="F191" t="s">
        <v>23</v>
      </c>
      <c r="G191" t="s">
        <v>41</v>
      </c>
      <c r="H191" t="s">
        <v>42</v>
      </c>
      <c r="I191" s="10">
        <v>2</v>
      </c>
      <c r="J191" s="12">
        <v>0</v>
      </c>
      <c r="K191" s="8">
        <v>1791.07</v>
      </c>
      <c r="L191">
        <v>3582.14</v>
      </c>
      <c r="M191" s="8">
        <v>1435.86</v>
      </c>
      <c r="N191" s="8">
        <v>2146.2800000000002</v>
      </c>
      <c r="O191" t="s">
        <v>37</v>
      </c>
      <c r="P191" t="str">
        <f>UPPER(TRIM(SalesData[[#This Row],[Payment Mode]]))</f>
        <v>DEBIT CARD</v>
      </c>
    </row>
    <row r="192" spans="1:16" x14ac:dyDescent="0.35">
      <c r="A192" s="4" t="s">
        <v>264</v>
      </c>
      <c r="B192" s="6">
        <v>45793</v>
      </c>
      <c r="C192" t="s">
        <v>30</v>
      </c>
      <c r="D192" t="str">
        <f>TRIM(SalesData[[#This Row],[Customer Name]])</f>
        <v>Swati Kale</v>
      </c>
      <c r="E192" t="s">
        <v>31</v>
      </c>
      <c r="F192" t="s">
        <v>23</v>
      </c>
      <c r="G192" t="s">
        <v>60</v>
      </c>
      <c r="H192" t="s">
        <v>36</v>
      </c>
      <c r="I192" s="10">
        <v>5</v>
      </c>
      <c r="J192" s="12">
        <v>0</v>
      </c>
      <c r="K192" s="8">
        <v>3432.55</v>
      </c>
      <c r="L192">
        <v>17162.75</v>
      </c>
      <c r="M192" s="8">
        <v>6181.8</v>
      </c>
      <c r="N192" s="8">
        <v>10980.95</v>
      </c>
      <c r="O192" t="s">
        <v>48</v>
      </c>
      <c r="P192" t="str">
        <f>UPPER(TRIM(SalesData[[#This Row],[Payment Mode]]))</f>
        <v>CREDIT CARD</v>
      </c>
    </row>
    <row r="193" spans="1:16" x14ac:dyDescent="0.35">
      <c r="A193" s="4" t="s">
        <v>265</v>
      </c>
      <c r="B193" s="6">
        <v>45793</v>
      </c>
      <c r="C193" t="s">
        <v>62</v>
      </c>
      <c r="D193" t="str">
        <f>TRIM(SalesData[[#This Row],[Customer Name]])</f>
        <v>Vivek More</v>
      </c>
      <c r="E193" t="s">
        <v>73</v>
      </c>
      <c r="F193" t="s">
        <v>74</v>
      </c>
      <c r="G193" t="s">
        <v>32</v>
      </c>
      <c r="H193" t="s">
        <v>18</v>
      </c>
      <c r="I193" s="10">
        <v>1</v>
      </c>
      <c r="J193" s="12">
        <v>0</v>
      </c>
      <c r="K193" s="8">
        <v>53583.37</v>
      </c>
      <c r="L193">
        <v>53583.37</v>
      </c>
      <c r="M193" s="8">
        <v>43145.8</v>
      </c>
      <c r="N193" s="8">
        <v>10437.57</v>
      </c>
      <c r="O193" t="s">
        <v>48</v>
      </c>
      <c r="P193" t="str">
        <f>UPPER(TRIM(SalesData[[#This Row],[Payment Mode]]))</f>
        <v>CREDIT CARD</v>
      </c>
    </row>
    <row r="194" spans="1:16" x14ac:dyDescent="0.35">
      <c r="A194" s="4" t="s">
        <v>266</v>
      </c>
      <c r="B194" s="6">
        <v>45793</v>
      </c>
      <c r="C194" t="s">
        <v>45</v>
      </c>
      <c r="D194" t="str">
        <f>TRIM(SalesData[[#This Row],[Customer Name]])</f>
        <v>Nikhil Gupta</v>
      </c>
      <c r="E194" t="s">
        <v>86</v>
      </c>
      <c r="F194" t="s">
        <v>87</v>
      </c>
      <c r="G194" t="s">
        <v>32</v>
      </c>
      <c r="H194" t="s">
        <v>18</v>
      </c>
      <c r="I194" s="10">
        <v>2</v>
      </c>
      <c r="J194" s="12">
        <v>0</v>
      </c>
      <c r="K194" s="8">
        <v>49491.08</v>
      </c>
      <c r="L194">
        <v>98982.16</v>
      </c>
      <c r="M194" s="8">
        <v>81850.84</v>
      </c>
      <c r="N194" s="8">
        <v>17131.32</v>
      </c>
      <c r="O194" t="s">
        <v>43</v>
      </c>
      <c r="P194" t="str">
        <f>UPPER(TRIM(SalesData[[#This Row],[Payment Mode]]))</f>
        <v>UPI</v>
      </c>
    </row>
    <row r="195" spans="1:16" x14ac:dyDescent="0.35">
      <c r="A195" s="4" t="s">
        <v>267</v>
      </c>
      <c r="B195" s="6">
        <v>45795</v>
      </c>
      <c r="C195" t="s">
        <v>168</v>
      </c>
      <c r="D195" t="str">
        <f>TRIM(SalesData[[#This Row],[Customer Name]])</f>
        <v>Kavita Singh</v>
      </c>
      <c r="E195" t="s">
        <v>53</v>
      </c>
      <c r="F195" t="s">
        <v>54</v>
      </c>
      <c r="G195" t="s">
        <v>101</v>
      </c>
      <c r="H195" t="s">
        <v>18</v>
      </c>
      <c r="I195" s="10">
        <v>3</v>
      </c>
      <c r="J195" s="12">
        <v>0</v>
      </c>
      <c r="K195" s="8">
        <v>17705.89</v>
      </c>
      <c r="L195">
        <v>53117.67</v>
      </c>
      <c r="M195" s="8">
        <v>23122.59</v>
      </c>
      <c r="N195" s="8">
        <v>29995.08</v>
      </c>
      <c r="O195" t="s">
        <v>48</v>
      </c>
      <c r="P195" t="str">
        <f>UPPER(TRIM(SalesData[[#This Row],[Payment Mode]]))</f>
        <v>CREDIT CARD</v>
      </c>
    </row>
    <row r="196" spans="1:16" x14ac:dyDescent="0.35">
      <c r="A196" s="4" t="s">
        <v>268</v>
      </c>
      <c r="B196" s="6">
        <v>45795</v>
      </c>
      <c r="C196" t="s">
        <v>56</v>
      </c>
      <c r="D196" t="str">
        <f>TRIM(SalesData[[#This Row],[Customer Name]])</f>
        <v>Pooja Shinde</v>
      </c>
      <c r="E196" t="s">
        <v>73</v>
      </c>
      <c r="F196" t="s">
        <v>74</v>
      </c>
      <c r="G196" t="s">
        <v>41</v>
      </c>
      <c r="H196" t="s">
        <v>42</v>
      </c>
      <c r="I196" s="10">
        <v>1</v>
      </c>
      <c r="J196" s="12">
        <v>0.05</v>
      </c>
      <c r="K196" s="8">
        <v>1721.04</v>
      </c>
      <c r="L196">
        <v>1634.99</v>
      </c>
      <c r="M196" s="8">
        <v>690.35</v>
      </c>
      <c r="N196" s="8">
        <v>944.64</v>
      </c>
      <c r="O196" t="s">
        <v>26</v>
      </c>
      <c r="P196" t="str">
        <f>UPPER(TRIM(SalesData[[#This Row],[Payment Mode]]))</f>
        <v>NET BANKING</v>
      </c>
    </row>
    <row r="197" spans="1:16" x14ac:dyDescent="0.35">
      <c r="A197" s="4" t="s">
        <v>269</v>
      </c>
      <c r="B197" s="6">
        <v>45796</v>
      </c>
      <c r="C197" t="s">
        <v>67</v>
      </c>
      <c r="D197" t="str">
        <f>TRIM(SalesData[[#This Row],[Customer Name]])</f>
        <v>Anjali Chavan</v>
      </c>
      <c r="E197" t="s">
        <v>73</v>
      </c>
      <c r="F197" t="s">
        <v>74</v>
      </c>
      <c r="G197" t="s">
        <v>24</v>
      </c>
      <c r="H197" t="s">
        <v>25</v>
      </c>
      <c r="I197" s="10">
        <v>2</v>
      </c>
      <c r="J197" s="12">
        <v>0.05</v>
      </c>
      <c r="K197" s="8">
        <v>8700.59</v>
      </c>
      <c r="L197">
        <v>16531.12</v>
      </c>
      <c r="M197" s="8">
        <v>9252.56</v>
      </c>
      <c r="N197" s="8">
        <v>7278.56</v>
      </c>
      <c r="O197" t="s">
        <v>43</v>
      </c>
      <c r="P197" t="str">
        <f>UPPER(TRIM(SalesData[[#This Row],[Payment Mode]]))</f>
        <v>UPI</v>
      </c>
    </row>
    <row r="198" spans="1:16" x14ac:dyDescent="0.35">
      <c r="A198" s="4" t="s">
        <v>270</v>
      </c>
      <c r="B198" s="6">
        <v>45796</v>
      </c>
      <c r="C198" t="s">
        <v>80</v>
      </c>
      <c r="D198" t="str">
        <f>TRIM(SalesData[[#This Row],[Customer Name]])</f>
        <v>Sagar Mane</v>
      </c>
      <c r="E198" t="s">
        <v>46</v>
      </c>
      <c r="F198" t="s">
        <v>23</v>
      </c>
      <c r="G198" t="s">
        <v>47</v>
      </c>
      <c r="H198" t="s">
        <v>25</v>
      </c>
      <c r="I198" s="10">
        <v>3</v>
      </c>
      <c r="J198" s="12">
        <v>0.1</v>
      </c>
      <c r="K198" s="8">
        <v>5738.4</v>
      </c>
      <c r="L198">
        <v>15493.68</v>
      </c>
      <c r="M198" s="8">
        <v>7743.57</v>
      </c>
      <c r="N198" s="8">
        <v>7750.11</v>
      </c>
      <c r="O198" t="s">
        <v>19</v>
      </c>
      <c r="P198" t="str">
        <f>UPPER(TRIM(SalesData[[#This Row],[Payment Mode]]))</f>
        <v>CASH</v>
      </c>
    </row>
    <row r="199" spans="1:16" x14ac:dyDescent="0.35">
      <c r="A199" s="4" t="s">
        <v>271</v>
      </c>
      <c r="B199" s="6">
        <v>45796</v>
      </c>
      <c r="C199" t="s">
        <v>95</v>
      </c>
      <c r="D199" t="str">
        <f>TRIM(SalesData[[#This Row],[Customer Name]])</f>
        <v>Rahul Pawar</v>
      </c>
      <c r="E199" t="s">
        <v>31</v>
      </c>
      <c r="F199" t="s">
        <v>23</v>
      </c>
      <c r="G199" t="s">
        <v>41</v>
      </c>
      <c r="H199" t="s">
        <v>42</v>
      </c>
      <c r="I199" s="10">
        <v>3</v>
      </c>
      <c r="J199" s="12">
        <v>0</v>
      </c>
      <c r="K199" s="8">
        <v>1778.36</v>
      </c>
      <c r="L199">
        <v>5335.08</v>
      </c>
      <c r="M199" s="8">
        <v>2163.3000000000002</v>
      </c>
      <c r="N199" s="8">
        <v>3171.78</v>
      </c>
      <c r="O199" t="s">
        <v>37</v>
      </c>
      <c r="P199" t="str">
        <f>UPPER(TRIM(SalesData[[#This Row],[Payment Mode]]))</f>
        <v>DEBIT CARD</v>
      </c>
    </row>
    <row r="200" spans="1:16" x14ac:dyDescent="0.35">
      <c r="A200" s="4" t="s">
        <v>272</v>
      </c>
      <c r="B200" s="6">
        <v>45798</v>
      </c>
      <c r="C200" t="s">
        <v>89</v>
      </c>
      <c r="D200" t="str">
        <f>TRIM(SalesData[[#This Row],[Customer Name]])</f>
        <v>Kunal Thakur</v>
      </c>
      <c r="E200" t="s">
        <v>31</v>
      </c>
      <c r="F200" t="s">
        <v>23</v>
      </c>
      <c r="G200" t="s">
        <v>75</v>
      </c>
      <c r="H200" t="s">
        <v>18</v>
      </c>
      <c r="I200" s="10">
        <v>1</v>
      </c>
      <c r="J200" s="12">
        <v>0.1</v>
      </c>
      <c r="K200" s="8">
        <v>15701.36</v>
      </c>
      <c r="L200">
        <v>14131.22</v>
      </c>
      <c r="M200" s="8">
        <v>9260.0400000000009</v>
      </c>
      <c r="N200" s="8">
        <v>4871.18</v>
      </c>
      <c r="O200" t="s">
        <v>43</v>
      </c>
      <c r="P200" t="str">
        <f>UPPER(TRIM(SalesData[[#This Row],[Payment Mode]]))</f>
        <v>UPI</v>
      </c>
    </row>
    <row r="201" spans="1:16" x14ac:dyDescent="0.35">
      <c r="A201" s="4" t="s">
        <v>273</v>
      </c>
      <c r="B201" s="6">
        <v>45800</v>
      </c>
      <c r="C201" t="s">
        <v>50</v>
      </c>
      <c r="D201" t="str">
        <f>TRIM(SalesData[[#This Row],[Customer Name]])</f>
        <v>Priya Patil</v>
      </c>
      <c r="E201" t="s">
        <v>31</v>
      </c>
      <c r="F201" t="s">
        <v>23</v>
      </c>
      <c r="G201" t="s">
        <v>60</v>
      </c>
      <c r="H201" t="s">
        <v>36</v>
      </c>
      <c r="I201" s="10">
        <v>1</v>
      </c>
      <c r="J201" s="12">
        <v>0</v>
      </c>
      <c r="K201" s="8">
        <v>3463.87</v>
      </c>
      <c r="L201">
        <v>3463.87</v>
      </c>
      <c r="M201" s="8">
        <v>1146.0899999999999</v>
      </c>
      <c r="N201" s="8">
        <v>2317.7800000000002</v>
      </c>
      <c r="O201" t="s">
        <v>48</v>
      </c>
      <c r="P201" t="str">
        <f>UPPER(TRIM(SalesData[[#This Row],[Payment Mode]]))</f>
        <v>CREDIT CARD</v>
      </c>
    </row>
    <row r="202" spans="1:16" x14ac:dyDescent="0.35">
      <c r="A202" s="4" t="s">
        <v>274</v>
      </c>
      <c r="B202" s="6">
        <v>45800</v>
      </c>
      <c r="C202" t="s">
        <v>62</v>
      </c>
      <c r="D202" t="str">
        <f>TRIM(SalesData[[#This Row],[Customer Name]])</f>
        <v>Vivek More</v>
      </c>
      <c r="E202" t="s">
        <v>16</v>
      </c>
      <c r="F202" t="s">
        <v>16</v>
      </c>
      <c r="G202" t="s">
        <v>77</v>
      </c>
      <c r="H202" t="s">
        <v>25</v>
      </c>
      <c r="I202" s="10">
        <v>1</v>
      </c>
      <c r="J202" s="12">
        <v>0</v>
      </c>
      <c r="K202" s="8">
        <v>7523.05</v>
      </c>
      <c r="L202">
        <v>7523.05</v>
      </c>
      <c r="M202" s="8">
        <v>3552.84</v>
      </c>
      <c r="N202" s="8">
        <v>3970.21</v>
      </c>
      <c r="O202" t="s">
        <v>43</v>
      </c>
      <c r="P202" t="str">
        <f>UPPER(TRIM(SalesData[[#This Row],[Payment Mode]]))</f>
        <v>UPI</v>
      </c>
    </row>
    <row r="203" spans="1:16" x14ac:dyDescent="0.35">
      <c r="A203" s="4" t="s">
        <v>275</v>
      </c>
      <c r="B203" s="6">
        <v>45802</v>
      </c>
      <c r="C203" t="s">
        <v>80</v>
      </c>
      <c r="D203" t="str">
        <f>TRIM(SalesData[[#This Row],[Customer Name]])</f>
        <v>Sagar Mane</v>
      </c>
      <c r="E203" t="s">
        <v>73</v>
      </c>
      <c r="F203" t="s">
        <v>74</v>
      </c>
      <c r="G203" t="s">
        <v>17</v>
      </c>
      <c r="H203" t="s">
        <v>18</v>
      </c>
      <c r="I203" s="10">
        <v>1</v>
      </c>
      <c r="J203" s="12">
        <v>0.1</v>
      </c>
      <c r="K203" s="8">
        <v>11507.05</v>
      </c>
      <c r="L203">
        <v>10356.34</v>
      </c>
      <c r="M203" s="8">
        <v>6522.97</v>
      </c>
      <c r="N203" s="8">
        <v>3833.37</v>
      </c>
      <c r="O203" t="s">
        <v>19</v>
      </c>
      <c r="P203" t="str">
        <f>UPPER(TRIM(SalesData[[#This Row],[Payment Mode]]))</f>
        <v>CASH</v>
      </c>
    </row>
    <row r="204" spans="1:16" x14ac:dyDescent="0.35">
      <c r="A204" s="4" t="s">
        <v>276</v>
      </c>
      <c r="B204" s="6">
        <v>45802</v>
      </c>
      <c r="C204" t="s">
        <v>56</v>
      </c>
      <c r="D204" t="str">
        <f>TRIM(SalesData[[#This Row],[Customer Name]])</f>
        <v>Pooja Shinde</v>
      </c>
      <c r="E204" t="s">
        <v>73</v>
      </c>
      <c r="F204" t="s">
        <v>74</v>
      </c>
      <c r="G204" t="s">
        <v>77</v>
      </c>
      <c r="H204" t="s">
        <v>25</v>
      </c>
      <c r="I204" s="10">
        <v>4</v>
      </c>
      <c r="J204" s="12">
        <v>0.05</v>
      </c>
      <c r="K204" s="8">
        <v>7478.65</v>
      </c>
      <c r="L204">
        <v>28418.87</v>
      </c>
      <c r="M204" s="8">
        <v>14060.52</v>
      </c>
      <c r="N204" s="8">
        <v>14358.35</v>
      </c>
      <c r="O204" t="s">
        <v>37</v>
      </c>
      <c r="P204" t="str">
        <f>UPPER(TRIM(SalesData[[#This Row],[Payment Mode]]))</f>
        <v>DEBIT CARD</v>
      </c>
    </row>
    <row r="205" spans="1:16" x14ac:dyDescent="0.35">
      <c r="A205" s="4" t="s">
        <v>277</v>
      </c>
      <c r="B205" s="6">
        <v>45803</v>
      </c>
      <c r="C205" t="s">
        <v>64</v>
      </c>
      <c r="D205" t="str">
        <f>TRIM(SalesData[[#This Row],[Customer Name]])</f>
        <v>Neha Jadhav</v>
      </c>
      <c r="E205" t="s">
        <v>83</v>
      </c>
      <c r="F205" t="s">
        <v>23</v>
      </c>
      <c r="G205" t="s">
        <v>47</v>
      </c>
      <c r="H205" t="s">
        <v>25</v>
      </c>
      <c r="I205" s="10">
        <v>4</v>
      </c>
      <c r="J205" s="12">
        <v>0.15</v>
      </c>
      <c r="K205" s="8">
        <v>5959.5</v>
      </c>
      <c r="L205">
        <v>20262.3</v>
      </c>
      <c r="M205" s="8">
        <v>9811.7999999999993</v>
      </c>
      <c r="N205" s="8">
        <v>10450.5</v>
      </c>
      <c r="O205" t="s">
        <v>26</v>
      </c>
      <c r="P205" t="str">
        <f>UPPER(TRIM(SalesData[[#This Row],[Payment Mode]]))</f>
        <v>NET BANKING</v>
      </c>
    </row>
    <row r="206" spans="1:16" x14ac:dyDescent="0.35">
      <c r="A206" s="4" t="s">
        <v>278</v>
      </c>
      <c r="B206" s="6">
        <v>45804</v>
      </c>
      <c r="C206" t="s">
        <v>45</v>
      </c>
      <c r="D206" t="str">
        <f>TRIM(SalesData[[#This Row],[Customer Name]])</f>
        <v>Nikhil Gupta</v>
      </c>
      <c r="E206" t="s">
        <v>22</v>
      </c>
      <c r="F206" t="s">
        <v>23</v>
      </c>
      <c r="G206" t="s">
        <v>65</v>
      </c>
      <c r="H206" t="s">
        <v>18</v>
      </c>
      <c r="I206" s="10">
        <v>2</v>
      </c>
      <c r="J206" s="12">
        <v>0</v>
      </c>
      <c r="K206" s="8">
        <v>21744.45</v>
      </c>
      <c r="L206">
        <v>43488.9</v>
      </c>
      <c r="M206" s="8">
        <v>27877.46</v>
      </c>
      <c r="N206" s="8">
        <v>15611.44</v>
      </c>
      <c r="O206" t="s">
        <v>19</v>
      </c>
      <c r="P206" t="str">
        <f>UPPER(TRIM(SalesData[[#This Row],[Payment Mode]]))</f>
        <v>CASH</v>
      </c>
    </row>
    <row r="207" spans="1:16" x14ac:dyDescent="0.35">
      <c r="A207" s="4" t="s">
        <v>279</v>
      </c>
      <c r="B207" s="6">
        <v>45804</v>
      </c>
      <c r="C207" t="s">
        <v>34</v>
      </c>
      <c r="D207" t="str">
        <f>TRIM(SalesData[[#This Row],[Customer Name]])</f>
        <v>Meera Desai</v>
      </c>
      <c r="E207" t="s">
        <v>86</v>
      </c>
      <c r="F207" t="s">
        <v>87</v>
      </c>
      <c r="G207" t="s">
        <v>35</v>
      </c>
      <c r="H207" t="s">
        <v>36</v>
      </c>
      <c r="I207" s="10">
        <v>4</v>
      </c>
      <c r="J207" s="12">
        <v>0</v>
      </c>
      <c r="K207" s="8">
        <v>1159.1500000000001</v>
      </c>
      <c r="L207">
        <v>4636.6000000000004</v>
      </c>
      <c r="M207" s="8">
        <v>1452.04</v>
      </c>
      <c r="N207" s="8">
        <v>3184.56</v>
      </c>
      <c r="O207" t="s">
        <v>19</v>
      </c>
      <c r="P207" t="str">
        <f>UPPER(TRIM(SalesData[[#This Row],[Payment Mode]]))</f>
        <v>CASH</v>
      </c>
    </row>
    <row r="208" spans="1:16" x14ac:dyDescent="0.35">
      <c r="A208" s="4" t="s">
        <v>280</v>
      </c>
      <c r="B208" s="6">
        <v>45804</v>
      </c>
      <c r="C208" t="s">
        <v>50</v>
      </c>
      <c r="D208" t="str">
        <f>TRIM(SalesData[[#This Row],[Customer Name]])</f>
        <v>Priya Patil</v>
      </c>
      <c r="E208" t="s">
        <v>46</v>
      </c>
      <c r="F208" t="s">
        <v>23</v>
      </c>
      <c r="G208" t="s">
        <v>24</v>
      </c>
      <c r="H208" t="s">
        <v>25</v>
      </c>
      <c r="I208" s="10">
        <v>5</v>
      </c>
      <c r="J208" s="12">
        <v>0</v>
      </c>
      <c r="K208" s="8">
        <v>9317.2999999999993</v>
      </c>
      <c r="L208">
        <v>46586.5</v>
      </c>
      <c r="M208" s="8">
        <v>22974.5</v>
      </c>
      <c r="N208" s="8">
        <v>23612</v>
      </c>
      <c r="O208" t="s">
        <v>37</v>
      </c>
      <c r="P208" t="str">
        <f>UPPER(TRIM(SalesData[[#This Row],[Payment Mode]]))</f>
        <v>DEBIT CARD</v>
      </c>
    </row>
    <row r="209" spans="1:16" x14ac:dyDescent="0.35">
      <c r="A209" s="4" t="s">
        <v>281</v>
      </c>
      <c r="B209" s="6">
        <v>45804</v>
      </c>
      <c r="C209" t="s">
        <v>64</v>
      </c>
      <c r="D209" t="str">
        <f>TRIM(SalesData[[#This Row],[Customer Name]])</f>
        <v>Neha Jadhav</v>
      </c>
      <c r="E209" t="s">
        <v>105</v>
      </c>
      <c r="F209" t="s">
        <v>106</v>
      </c>
      <c r="G209" t="s">
        <v>77</v>
      </c>
      <c r="H209" t="s">
        <v>25</v>
      </c>
      <c r="I209" s="10">
        <v>4</v>
      </c>
      <c r="J209" s="12">
        <v>0</v>
      </c>
      <c r="K209" s="8">
        <v>7605.15</v>
      </c>
      <c r="L209">
        <v>30420.6</v>
      </c>
      <c r="M209" s="8">
        <v>13717.8</v>
      </c>
      <c r="N209" s="8">
        <v>16702.8</v>
      </c>
      <c r="O209" t="s">
        <v>37</v>
      </c>
      <c r="P209" t="str">
        <f>UPPER(TRIM(SalesData[[#This Row],[Payment Mode]]))</f>
        <v>DEBIT CARD</v>
      </c>
    </row>
    <row r="210" spans="1:16" x14ac:dyDescent="0.35">
      <c r="A210" s="4" t="s">
        <v>282</v>
      </c>
      <c r="B210" s="6">
        <v>45804</v>
      </c>
      <c r="C210" t="s">
        <v>168</v>
      </c>
      <c r="D210" t="str">
        <f>TRIM(SalesData[[#This Row],[Customer Name]])</f>
        <v>Kavita Singh</v>
      </c>
      <c r="E210" t="s">
        <v>31</v>
      </c>
      <c r="F210" t="s">
        <v>23</v>
      </c>
      <c r="G210" t="s">
        <v>32</v>
      </c>
      <c r="H210" t="s">
        <v>18</v>
      </c>
      <c r="I210" s="10">
        <v>5</v>
      </c>
      <c r="J210" s="12">
        <v>0.05</v>
      </c>
      <c r="K210" s="8">
        <v>53885.73</v>
      </c>
      <c r="L210">
        <v>255957.22</v>
      </c>
      <c r="M210" s="8">
        <v>203264.35</v>
      </c>
      <c r="N210" s="8">
        <v>52692.87</v>
      </c>
      <c r="O210" t="s">
        <v>37</v>
      </c>
      <c r="P210" t="str">
        <f>UPPER(TRIM(SalesData[[#This Row],[Payment Mode]]))</f>
        <v>DEBIT CARD</v>
      </c>
    </row>
    <row r="211" spans="1:16" x14ac:dyDescent="0.35">
      <c r="A211" s="4" t="s">
        <v>283</v>
      </c>
      <c r="B211" s="6">
        <v>45805</v>
      </c>
      <c r="C211" t="s">
        <v>168</v>
      </c>
      <c r="D211" t="str">
        <f>TRIM(SalesData[[#This Row],[Customer Name]])</f>
        <v>Kavita Singh</v>
      </c>
      <c r="E211" t="s">
        <v>46</v>
      </c>
      <c r="F211" t="s">
        <v>23</v>
      </c>
      <c r="G211" t="s">
        <v>101</v>
      </c>
      <c r="H211" t="s">
        <v>18</v>
      </c>
      <c r="I211" s="10">
        <v>3</v>
      </c>
      <c r="J211" s="12">
        <v>0</v>
      </c>
      <c r="K211" s="8">
        <v>18812.560000000001</v>
      </c>
      <c r="L211">
        <v>56437.68</v>
      </c>
      <c r="M211" s="8">
        <v>23513.49</v>
      </c>
      <c r="N211" s="8">
        <v>32924.19</v>
      </c>
      <c r="O211" t="s">
        <v>37</v>
      </c>
      <c r="P211" t="str">
        <f>UPPER(TRIM(SalesData[[#This Row],[Payment Mode]]))</f>
        <v>DEBIT CARD</v>
      </c>
    </row>
    <row r="212" spans="1:16" x14ac:dyDescent="0.35">
      <c r="A212" s="4" t="s">
        <v>284</v>
      </c>
      <c r="B212" s="6">
        <v>45805</v>
      </c>
      <c r="C212" t="s">
        <v>95</v>
      </c>
      <c r="D212" t="str">
        <f>TRIM(SalesData[[#This Row],[Customer Name]])</f>
        <v>Rahul Pawar</v>
      </c>
      <c r="E212" t="s">
        <v>31</v>
      </c>
      <c r="F212" t="s">
        <v>23</v>
      </c>
      <c r="G212" t="s">
        <v>75</v>
      </c>
      <c r="H212" t="s">
        <v>18</v>
      </c>
      <c r="I212" s="10">
        <v>4</v>
      </c>
      <c r="J212" s="12">
        <v>0</v>
      </c>
      <c r="K212" s="8">
        <v>15552.39</v>
      </c>
      <c r="L212">
        <v>62209.56</v>
      </c>
      <c r="M212" s="8">
        <v>36760.120000000003</v>
      </c>
      <c r="N212" s="8">
        <v>25449.439999999999</v>
      </c>
      <c r="O212" t="s">
        <v>19</v>
      </c>
      <c r="P212" t="str">
        <f>UPPER(TRIM(SalesData[[#This Row],[Payment Mode]]))</f>
        <v>CASH</v>
      </c>
    </row>
    <row r="213" spans="1:16" x14ac:dyDescent="0.35">
      <c r="A213" s="4" t="s">
        <v>285</v>
      </c>
      <c r="B213" s="6">
        <v>45806</v>
      </c>
      <c r="C213" t="s">
        <v>56</v>
      </c>
      <c r="D213" t="str">
        <f>TRIM(SalesData[[#This Row],[Customer Name]])</f>
        <v>Pooja Shinde</v>
      </c>
      <c r="E213" t="s">
        <v>46</v>
      </c>
      <c r="F213" t="s">
        <v>23</v>
      </c>
      <c r="G213" t="s">
        <v>65</v>
      </c>
      <c r="H213" t="s">
        <v>18</v>
      </c>
      <c r="I213" s="10">
        <v>1</v>
      </c>
      <c r="J213" s="12">
        <v>0</v>
      </c>
      <c r="K213" s="8">
        <v>22333.61</v>
      </c>
      <c r="L213">
        <v>22333.61</v>
      </c>
      <c r="M213" s="8">
        <v>14334.04</v>
      </c>
      <c r="N213" s="8">
        <v>7999.57</v>
      </c>
      <c r="O213" t="s">
        <v>43</v>
      </c>
      <c r="P213" t="str">
        <f>UPPER(TRIM(SalesData[[#This Row],[Payment Mode]]))</f>
        <v>UPI</v>
      </c>
    </row>
    <row r="214" spans="1:16" x14ac:dyDescent="0.35">
      <c r="A214" s="4" t="s">
        <v>286</v>
      </c>
      <c r="B214" s="6">
        <v>45807</v>
      </c>
      <c r="C214" t="s">
        <v>89</v>
      </c>
      <c r="D214" t="str">
        <f>TRIM(SalesData[[#This Row],[Customer Name]])</f>
        <v>Kunal Thakur</v>
      </c>
      <c r="E214" t="s">
        <v>16</v>
      </c>
      <c r="F214" t="s">
        <v>16</v>
      </c>
      <c r="G214" t="s">
        <v>60</v>
      </c>
      <c r="H214" t="s">
        <v>36</v>
      </c>
      <c r="I214" s="10">
        <v>1</v>
      </c>
      <c r="J214" s="12">
        <v>0</v>
      </c>
      <c r="K214" s="8">
        <v>3482.18</v>
      </c>
      <c r="L214">
        <v>3482.18</v>
      </c>
      <c r="M214" s="8">
        <v>1213.47</v>
      </c>
      <c r="N214" s="8">
        <v>2268.71</v>
      </c>
      <c r="O214" t="s">
        <v>26</v>
      </c>
      <c r="P214" t="str">
        <f>UPPER(TRIM(SalesData[[#This Row],[Payment Mode]]))</f>
        <v>NET BANKING</v>
      </c>
    </row>
    <row r="215" spans="1:16" x14ac:dyDescent="0.35">
      <c r="A215" s="4" t="s">
        <v>287</v>
      </c>
      <c r="B215" s="6">
        <v>45808</v>
      </c>
      <c r="C215" t="s">
        <v>30</v>
      </c>
      <c r="D215" t="str">
        <f>TRIM(SalesData[[#This Row],[Customer Name]])</f>
        <v>Swati Kale</v>
      </c>
      <c r="E215" t="s">
        <v>73</v>
      </c>
      <c r="F215" t="s">
        <v>74</v>
      </c>
      <c r="G215" t="s">
        <v>65</v>
      </c>
      <c r="H215" t="s">
        <v>18</v>
      </c>
      <c r="I215" s="10">
        <v>5</v>
      </c>
      <c r="J215" s="12">
        <v>0</v>
      </c>
      <c r="K215" s="8">
        <v>22175.23</v>
      </c>
      <c r="L215">
        <v>110876.15</v>
      </c>
      <c r="M215" s="8">
        <v>68890.95</v>
      </c>
      <c r="N215" s="8">
        <v>41985.2</v>
      </c>
      <c r="O215" t="s">
        <v>37</v>
      </c>
      <c r="P215" t="str">
        <f>UPPER(TRIM(SalesData[[#This Row],[Payment Mode]]))</f>
        <v>DEBIT CARD</v>
      </c>
    </row>
    <row r="216" spans="1:16" x14ac:dyDescent="0.35">
      <c r="A216" s="4" t="s">
        <v>288</v>
      </c>
      <c r="B216" s="6">
        <v>45808</v>
      </c>
      <c r="C216" t="s">
        <v>93</v>
      </c>
      <c r="D216" t="str">
        <f>TRIM(SalesData[[#This Row],[Customer Name]])</f>
        <v>Aditya Joshi</v>
      </c>
      <c r="E216" t="s">
        <v>105</v>
      </c>
      <c r="F216" t="s">
        <v>106</v>
      </c>
      <c r="G216" t="s">
        <v>32</v>
      </c>
      <c r="H216" t="s">
        <v>18</v>
      </c>
      <c r="I216" s="10">
        <v>3</v>
      </c>
      <c r="J216" s="12">
        <v>0</v>
      </c>
      <c r="K216" s="8">
        <v>51334.49</v>
      </c>
      <c r="L216">
        <v>154003.47</v>
      </c>
      <c r="M216" s="8">
        <v>129482.79</v>
      </c>
      <c r="N216" s="8">
        <v>24520.68</v>
      </c>
      <c r="O216" t="s">
        <v>19</v>
      </c>
      <c r="P216" t="str">
        <f>UPPER(TRIM(SalesData[[#This Row],[Payment Mode]]))</f>
        <v>CASH</v>
      </c>
    </row>
    <row r="217" spans="1:16" x14ac:dyDescent="0.35">
      <c r="A217" s="4" t="s">
        <v>289</v>
      </c>
      <c r="B217" s="6">
        <v>45808</v>
      </c>
      <c r="C217" t="s">
        <v>67</v>
      </c>
      <c r="D217" t="str">
        <f>TRIM(SalesData[[#This Row],[Customer Name]])</f>
        <v>Anjali Chavan</v>
      </c>
      <c r="E217" t="s">
        <v>16</v>
      </c>
      <c r="F217" t="s">
        <v>16</v>
      </c>
      <c r="G217" t="s">
        <v>41</v>
      </c>
      <c r="H217" t="s">
        <v>42</v>
      </c>
      <c r="I217" s="10">
        <v>1</v>
      </c>
      <c r="J217" s="12">
        <v>0</v>
      </c>
      <c r="K217" s="8">
        <v>1803.2</v>
      </c>
      <c r="L217">
        <v>1803.2</v>
      </c>
      <c r="M217" s="8">
        <v>723.64</v>
      </c>
      <c r="N217" s="8">
        <v>1079.56</v>
      </c>
      <c r="O217" t="s">
        <v>37</v>
      </c>
      <c r="P217" t="str">
        <f>UPPER(TRIM(SalesData[[#This Row],[Payment Mode]]))</f>
        <v>DEBIT CARD</v>
      </c>
    </row>
    <row r="218" spans="1:16" x14ac:dyDescent="0.35">
      <c r="A218" s="4" t="s">
        <v>290</v>
      </c>
      <c r="B218" s="6">
        <v>45811</v>
      </c>
      <c r="C218" t="s">
        <v>168</v>
      </c>
      <c r="D218" t="str">
        <f>TRIM(SalesData[[#This Row],[Customer Name]])</f>
        <v>Kavita Singh</v>
      </c>
      <c r="E218" t="s">
        <v>86</v>
      </c>
      <c r="F218" t="s">
        <v>87</v>
      </c>
      <c r="G218" t="s">
        <v>77</v>
      </c>
      <c r="H218" t="s">
        <v>25</v>
      </c>
      <c r="I218" s="10">
        <v>3</v>
      </c>
      <c r="J218" s="12">
        <v>0.15</v>
      </c>
      <c r="K218" s="8">
        <v>7545.13</v>
      </c>
      <c r="L218">
        <v>19240.080000000002</v>
      </c>
      <c r="M218" s="8">
        <v>10958.67</v>
      </c>
      <c r="N218" s="8">
        <v>8281.41</v>
      </c>
      <c r="O218" t="s">
        <v>43</v>
      </c>
      <c r="P218" t="str">
        <f>UPPER(TRIM(SalesData[[#This Row],[Payment Mode]]))</f>
        <v>UPI</v>
      </c>
    </row>
    <row r="219" spans="1:16" x14ac:dyDescent="0.35">
      <c r="A219" s="4" t="s">
        <v>291</v>
      </c>
      <c r="B219" s="6">
        <v>45811</v>
      </c>
      <c r="C219" t="s">
        <v>93</v>
      </c>
      <c r="D219" t="str">
        <f>TRIM(SalesData[[#This Row],[Customer Name]])</f>
        <v>Aditya Joshi</v>
      </c>
      <c r="E219" t="s">
        <v>83</v>
      </c>
      <c r="F219" t="s">
        <v>23</v>
      </c>
      <c r="G219" t="s">
        <v>101</v>
      </c>
      <c r="H219" t="s">
        <v>18</v>
      </c>
      <c r="I219" s="10">
        <v>3</v>
      </c>
      <c r="J219" s="12">
        <v>0.05</v>
      </c>
      <c r="K219" s="8">
        <v>17267.45</v>
      </c>
      <c r="L219">
        <v>49212.23</v>
      </c>
      <c r="M219" s="8">
        <v>22870.47</v>
      </c>
      <c r="N219" s="8">
        <v>26341.759999999998</v>
      </c>
      <c r="O219" t="s">
        <v>37</v>
      </c>
      <c r="P219" t="str">
        <f>UPPER(TRIM(SalesData[[#This Row],[Payment Mode]]))</f>
        <v>DEBIT CARD</v>
      </c>
    </row>
    <row r="220" spans="1:16" x14ac:dyDescent="0.35">
      <c r="A220" s="4" t="s">
        <v>292</v>
      </c>
      <c r="B220" s="6">
        <v>45812</v>
      </c>
      <c r="C220" t="s">
        <v>72</v>
      </c>
      <c r="D220" t="str">
        <f>TRIM(SalesData[[#This Row],[Customer Name]])</f>
        <v>Riya Shah</v>
      </c>
      <c r="E220" t="s">
        <v>31</v>
      </c>
      <c r="F220" t="s">
        <v>23</v>
      </c>
      <c r="G220" t="s">
        <v>35</v>
      </c>
      <c r="H220" t="s">
        <v>36</v>
      </c>
      <c r="I220" s="10">
        <v>4</v>
      </c>
      <c r="J220" s="12">
        <v>0</v>
      </c>
      <c r="K220" s="8">
        <v>1181.48</v>
      </c>
      <c r="L220">
        <v>4725.92</v>
      </c>
      <c r="M220" s="8">
        <v>1455.56</v>
      </c>
      <c r="N220" s="8">
        <v>3270.36</v>
      </c>
      <c r="O220" t="s">
        <v>26</v>
      </c>
      <c r="P220" t="str">
        <f>UPPER(TRIM(SalesData[[#This Row],[Payment Mode]]))</f>
        <v>NET BANKING</v>
      </c>
    </row>
    <row r="221" spans="1:16" x14ac:dyDescent="0.35">
      <c r="A221" s="4" t="s">
        <v>293</v>
      </c>
      <c r="B221" s="6">
        <v>45813</v>
      </c>
      <c r="C221" t="s">
        <v>21</v>
      </c>
      <c r="D221" t="str">
        <f>TRIM(SalesData[[#This Row],[Customer Name]])</f>
        <v>Aarav Sharma</v>
      </c>
      <c r="E221" t="s">
        <v>40</v>
      </c>
      <c r="F221" t="s">
        <v>23</v>
      </c>
      <c r="G221" t="s">
        <v>107</v>
      </c>
      <c r="H221" t="s">
        <v>36</v>
      </c>
      <c r="I221" s="10">
        <v>2</v>
      </c>
      <c r="J221" s="12">
        <v>0.1</v>
      </c>
      <c r="K221" s="8">
        <v>1868.37</v>
      </c>
      <c r="L221">
        <v>3363.07</v>
      </c>
      <c r="M221" s="8">
        <v>1203.06</v>
      </c>
      <c r="N221" s="8">
        <v>2160.0100000000002</v>
      </c>
      <c r="O221" t="s">
        <v>26</v>
      </c>
      <c r="P221" t="str">
        <f>UPPER(TRIM(SalesData[[#This Row],[Payment Mode]]))</f>
        <v>NET BANKING</v>
      </c>
    </row>
    <row r="222" spans="1:16" x14ac:dyDescent="0.35">
      <c r="A222" s="4" t="s">
        <v>294</v>
      </c>
      <c r="B222" s="6">
        <v>45813</v>
      </c>
      <c r="C222" t="s">
        <v>168</v>
      </c>
      <c r="D222" t="str">
        <f>TRIM(SalesData[[#This Row],[Customer Name]])</f>
        <v>Kavita Singh</v>
      </c>
      <c r="E222" t="s">
        <v>31</v>
      </c>
      <c r="F222" t="s">
        <v>23</v>
      </c>
      <c r="G222" t="s">
        <v>107</v>
      </c>
      <c r="H222" t="s">
        <v>36</v>
      </c>
      <c r="I222" s="10">
        <v>2</v>
      </c>
      <c r="J222" s="12">
        <v>0.05</v>
      </c>
      <c r="K222" s="8">
        <v>1750.73</v>
      </c>
      <c r="L222">
        <v>3326.39</v>
      </c>
      <c r="M222" s="8">
        <v>1186.0999999999999</v>
      </c>
      <c r="N222" s="8">
        <v>2140.29</v>
      </c>
      <c r="O222" t="s">
        <v>43</v>
      </c>
      <c r="P222" t="str">
        <f>UPPER(TRIM(SalesData[[#This Row],[Payment Mode]]))</f>
        <v>UPI</v>
      </c>
    </row>
    <row r="223" spans="1:16" x14ac:dyDescent="0.35">
      <c r="A223" s="4" t="s">
        <v>295</v>
      </c>
      <c r="B223" s="6">
        <v>45813</v>
      </c>
      <c r="C223" t="s">
        <v>39</v>
      </c>
      <c r="D223" t="str">
        <f>TRIM(SalesData[[#This Row],[Customer Name]])</f>
        <v>Akash Wagh</v>
      </c>
      <c r="E223" t="s">
        <v>53</v>
      </c>
      <c r="F223" t="s">
        <v>54</v>
      </c>
      <c r="G223" t="s">
        <v>77</v>
      </c>
      <c r="H223" t="s">
        <v>25</v>
      </c>
      <c r="I223" s="10">
        <v>1</v>
      </c>
      <c r="J223" s="12">
        <v>0</v>
      </c>
      <c r="K223" s="8">
        <v>7345.33</v>
      </c>
      <c r="L223">
        <v>7345.33</v>
      </c>
      <c r="M223" s="8">
        <v>3339.52</v>
      </c>
      <c r="N223" s="8">
        <v>4005.81</v>
      </c>
      <c r="O223" t="s">
        <v>37</v>
      </c>
      <c r="P223" t="str">
        <f>UPPER(TRIM(SalesData[[#This Row],[Payment Mode]]))</f>
        <v>DEBIT CARD</v>
      </c>
    </row>
    <row r="224" spans="1:16" x14ac:dyDescent="0.35">
      <c r="A224" s="4" t="s">
        <v>296</v>
      </c>
      <c r="B224" s="6">
        <v>45814</v>
      </c>
      <c r="C224" t="s">
        <v>45</v>
      </c>
      <c r="D224" t="str">
        <f>TRIM(SalesData[[#This Row],[Customer Name]])</f>
        <v>Nikhil Gupta</v>
      </c>
      <c r="E224" t="s">
        <v>40</v>
      </c>
      <c r="F224" t="s">
        <v>23</v>
      </c>
      <c r="G224" t="s">
        <v>60</v>
      </c>
      <c r="H224" t="s">
        <v>36</v>
      </c>
      <c r="I224" s="10">
        <v>5</v>
      </c>
      <c r="J224" s="12">
        <v>0</v>
      </c>
      <c r="K224" s="8">
        <v>3464.05</v>
      </c>
      <c r="L224">
        <v>17320.25</v>
      </c>
      <c r="M224" s="8">
        <v>6178.4</v>
      </c>
      <c r="N224" s="8">
        <v>11141.85</v>
      </c>
      <c r="O224" t="s">
        <v>19</v>
      </c>
      <c r="P224" t="str">
        <f>UPPER(TRIM(SalesData[[#This Row],[Payment Mode]]))</f>
        <v>CASH</v>
      </c>
    </row>
    <row r="225" spans="1:16" x14ac:dyDescent="0.35">
      <c r="A225" s="4" t="s">
        <v>297</v>
      </c>
      <c r="B225" s="6">
        <v>45814</v>
      </c>
      <c r="C225" t="s">
        <v>67</v>
      </c>
      <c r="D225" t="str">
        <f>TRIM(SalesData[[#This Row],[Customer Name]])</f>
        <v>Anjali Chavan</v>
      </c>
      <c r="E225" t="s">
        <v>31</v>
      </c>
      <c r="F225" t="s">
        <v>23</v>
      </c>
      <c r="G225" t="s">
        <v>107</v>
      </c>
      <c r="H225" t="s">
        <v>36</v>
      </c>
      <c r="I225" s="10">
        <v>4</v>
      </c>
      <c r="J225" s="12">
        <v>0</v>
      </c>
      <c r="K225" s="8">
        <v>1847.14</v>
      </c>
      <c r="L225">
        <v>7388.56</v>
      </c>
      <c r="M225" s="8">
        <v>2507.1999999999998</v>
      </c>
      <c r="N225" s="8">
        <v>4881.3599999999997</v>
      </c>
      <c r="O225" t="s">
        <v>19</v>
      </c>
      <c r="P225" t="str">
        <f>UPPER(TRIM(SalesData[[#This Row],[Payment Mode]]))</f>
        <v>CASH</v>
      </c>
    </row>
    <row r="226" spans="1:16" x14ac:dyDescent="0.35">
      <c r="A226" s="4" t="s">
        <v>298</v>
      </c>
      <c r="B226" s="6">
        <v>45815</v>
      </c>
      <c r="C226" t="s">
        <v>89</v>
      </c>
      <c r="D226" t="str">
        <f>TRIM(SalesData[[#This Row],[Customer Name]])</f>
        <v>Kunal Thakur</v>
      </c>
      <c r="E226" t="s">
        <v>86</v>
      </c>
      <c r="F226" t="s">
        <v>87</v>
      </c>
      <c r="G226" t="s">
        <v>60</v>
      </c>
      <c r="H226" t="s">
        <v>36</v>
      </c>
      <c r="I226" s="10">
        <v>3</v>
      </c>
      <c r="J226" s="12">
        <v>0.05</v>
      </c>
      <c r="K226" s="8">
        <v>3579.13</v>
      </c>
      <c r="L226">
        <v>10200.52</v>
      </c>
      <c r="M226" s="8">
        <v>3771.3</v>
      </c>
      <c r="N226" s="8">
        <v>6429.22</v>
      </c>
      <c r="O226" t="s">
        <v>43</v>
      </c>
      <c r="P226" t="str">
        <f>UPPER(TRIM(SalesData[[#This Row],[Payment Mode]]))</f>
        <v>UPI</v>
      </c>
    </row>
    <row r="227" spans="1:16" x14ac:dyDescent="0.35">
      <c r="A227" s="4" t="s">
        <v>299</v>
      </c>
      <c r="B227" s="6">
        <v>45817</v>
      </c>
      <c r="C227" t="s">
        <v>85</v>
      </c>
      <c r="D227" t="str">
        <f>TRIM(SalesData[[#This Row],[Customer Name]])</f>
        <v>Amit Verma</v>
      </c>
      <c r="E227" t="s">
        <v>53</v>
      </c>
      <c r="F227" t="s">
        <v>54</v>
      </c>
      <c r="G227" t="s">
        <v>24</v>
      </c>
      <c r="H227" t="s">
        <v>25</v>
      </c>
      <c r="I227" s="10">
        <v>5</v>
      </c>
      <c r="J227" s="12">
        <v>0</v>
      </c>
      <c r="K227" s="8">
        <v>8571.27</v>
      </c>
      <c r="L227">
        <v>42856.35</v>
      </c>
      <c r="M227" s="8">
        <v>22819.45</v>
      </c>
      <c r="N227" s="8">
        <v>20036.900000000001</v>
      </c>
      <c r="O227" t="s">
        <v>48</v>
      </c>
      <c r="P227" t="str">
        <f>UPPER(TRIM(SalesData[[#This Row],[Payment Mode]]))</f>
        <v>CREDIT CARD</v>
      </c>
    </row>
    <row r="228" spans="1:16" x14ac:dyDescent="0.35">
      <c r="A228" s="4" t="s">
        <v>300</v>
      </c>
      <c r="B228" s="6">
        <v>45818</v>
      </c>
      <c r="C228" t="s">
        <v>67</v>
      </c>
      <c r="D228" t="str">
        <f>TRIM(SalesData[[#This Row],[Customer Name]])</f>
        <v>Anjali Chavan</v>
      </c>
      <c r="E228" t="s">
        <v>83</v>
      </c>
      <c r="F228" t="s">
        <v>23</v>
      </c>
      <c r="G228" t="s">
        <v>47</v>
      </c>
      <c r="H228" t="s">
        <v>25</v>
      </c>
      <c r="I228" s="10">
        <v>1</v>
      </c>
      <c r="J228" s="12">
        <v>0.05</v>
      </c>
      <c r="K228" s="8">
        <v>5711.02</v>
      </c>
      <c r="L228">
        <v>5425.47</v>
      </c>
      <c r="M228" s="8">
        <v>2495.59</v>
      </c>
      <c r="N228" s="8">
        <v>2929.88</v>
      </c>
      <c r="O228" t="s">
        <v>48</v>
      </c>
      <c r="P228" t="str">
        <f>UPPER(TRIM(SalesData[[#This Row],[Payment Mode]]))</f>
        <v>CREDIT CARD</v>
      </c>
    </row>
    <row r="229" spans="1:16" x14ac:dyDescent="0.35">
      <c r="A229" s="4" t="s">
        <v>301</v>
      </c>
      <c r="B229" s="6">
        <v>45819</v>
      </c>
      <c r="C229" t="s">
        <v>21</v>
      </c>
      <c r="D229" t="str">
        <f>TRIM(SalesData[[#This Row],[Customer Name]])</f>
        <v>Aarav Sharma</v>
      </c>
      <c r="E229" t="s">
        <v>86</v>
      </c>
      <c r="F229" t="s">
        <v>87</v>
      </c>
      <c r="G229" t="s">
        <v>60</v>
      </c>
      <c r="H229" t="s">
        <v>36</v>
      </c>
      <c r="I229" s="10">
        <v>1</v>
      </c>
      <c r="J229" s="12">
        <v>0</v>
      </c>
      <c r="K229" s="8">
        <v>3351.43</v>
      </c>
      <c r="L229">
        <v>3351.43</v>
      </c>
      <c r="M229" s="8">
        <v>1230.3900000000001</v>
      </c>
      <c r="N229" s="8">
        <v>2121.04</v>
      </c>
      <c r="O229" t="s">
        <v>19</v>
      </c>
      <c r="P229" t="str">
        <f>UPPER(TRIM(SalesData[[#This Row],[Payment Mode]]))</f>
        <v>CASH</v>
      </c>
    </row>
    <row r="230" spans="1:16" x14ac:dyDescent="0.35">
      <c r="A230" s="4" t="s">
        <v>302</v>
      </c>
      <c r="B230" s="6">
        <v>45819</v>
      </c>
      <c r="C230" t="s">
        <v>72</v>
      </c>
      <c r="D230" t="str">
        <f>TRIM(SalesData[[#This Row],[Customer Name]])</f>
        <v>Riya Shah</v>
      </c>
      <c r="E230" t="s">
        <v>105</v>
      </c>
      <c r="F230" t="s">
        <v>106</v>
      </c>
      <c r="G230" t="s">
        <v>75</v>
      </c>
      <c r="H230" t="s">
        <v>18</v>
      </c>
      <c r="I230" s="10">
        <v>5</v>
      </c>
      <c r="J230" s="12">
        <v>0.05</v>
      </c>
      <c r="K230" s="8">
        <v>16098.38</v>
      </c>
      <c r="L230">
        <v>76467.3</v>
      </c>
      <c r="M230" s="8">
        <v>45272.95</v>
      </c>
      <c r="N230" s="8">
        <v>31194.35</v>
      </c>
      <c r="O230" t="s">
        <v>37</v>
      </c>
      <c r="P230" t="str">
        <f>UPPER(TRIM(SalesData[[#This Row],[Payment Mode]]))</f>
        <v>DEBIT CARD</v>
      </c>
    </row>
    <row r="231" spans="1:16" x14ac:dyDescent="0.35">
      <c r="A231" s="4" t="s">
        <v>303</v>
      </c>
      <c r="B231" s="6">
        <v>45820</v>
      </c>
      <c r="C231" t="s">
        <v>39</v>
      </c>
      <c r="D231" t="str">
        <f>TRIM(SalesData[[#This Row],[Customer Name]])</f>
        <v>Akash Wagh</v>
      </c>
      <c r="E231" t="s">
        <v>22</v>
      </c>
      <c r="F231" t="s">
        <v>23</v>
      </c>
      <c r="G231" t="s">
        <v>41</v>
      </c>
      <c r="H231" t="s">
        <v>42</v>
      </c>
      <c r="I231" s="10">
        <v>5</v>
      </c>
      <c r="J231" s="12">
        <v>0.15</v>
      </c>
      <c r="K231" s="8">
        <v>1783.68</v>
      </c>
      <c r="L231">
        <v>7580.64</v>
      </c>
      <c r="M231" s="8">
        <v>3637.95</v>
      </c>
      <c r="N231" s="8">
        <v>3942.69</v>
      </c>
      <c r="O231" t="s">
        <v>43</v>
      </c>
      <c r="P231" t="str">
        <f>UPPER(TRIM(SalesData[[#This Row],[Payment Mode]]))</f>
        <v>UPI</v>
      </c>
    </row>
    <row r="232" spans="1:16" x14ac:dyDescent="0.35">
      <c r="A232" s="4" t="s">
        <v>304</v>
      </c>
      <c r="B232" s="6">
        <v>45820</v>
      </c>
      <c r="C232" t="s">
        <v>45</v>
      </c>
      <c r="D232" t="str">
        <f>TRIM(SalesData[[#This Row],[Customer Name]])</f>
        <v>Nikhil Gupta</v>
      </c>
      <c r="E232" t="s">
        <v>16</v>
      </c>
      <c r="F232" t="s">
        <v>16</v>
      </c>
      <c r="G232" t="s">
        <v>101</v>
      </c>
      <c r="H232" t="s">
        <v>18</v>
      </c>
      <c r="I232" s="10">
        <v>5</v>
      </c>
      <c r="J232" s="12">
        <v>0.05</v>
      </c>
      <c r="K232" s="8">
        <v>18552</v>
      </c>
      <c r="L232">
        <v>88122</v>
      </c>
      <c r="M232" s="8">
        <v>41432.1</v>
      </c>
      <c r="N232" s="8">
        <v>46689.9</v>
      </c>
      <c r="O232" t="s">
        <v>26</v>
      </c>
      <c r="P232" t="str">
        <f>UPPER(TRIM(SalesData[[#This Row],[Payment Mode]]))</f>
        <v>NET BANKING</v>
      </c>
    </row>
    <row r="233" spans="1:16" x14ac:dyDescent="0.35">
      <c r="A233" s="4" t="s">
        <v>305</v>
      </c>
      <c r="B233" s="6">
        <v>45820</v>
      </c>
      <c r="C233" t="s">
        <v>34</v>
      </c>
      <c r="D233" t="str">
        <f>TRIM(SalesData[[#This Row],[Customer Name]])</f>
        <v>Meera Desai</v>
      </c>
      <c r="E233" t="s">
        <v>53</v>
      </c>
      <c r="F233" t="s">
        <v>54</v>
      </c>
      <c r="G233" t="s">
        <v>60</v>
      </c>
      <c r="H233" t="s">
        <v>36</v>
      </c>
      <c r="I233" s="10">
        <v>5</v>
      </c>
      <c r="J233" s="12">
        <v>0</v>
      </c>
      <c r="K233" s="8">
        <v>3344.97</v>
      </c>
      <c r="L233">
        <v>16724.849999999999</v>
      </c>
      <c r="M233" s="8">
        <v>5869.3</v>
      </c>
      <c r="N233" s="8">
        <v>10855.55</v>
      </c>
      <c r="O233" t="s">
        <v>48</v>
      </c>
      <c r="P233" t="str">
        <f>UPPER(TRIM(SalesData[[#This Row],[Payment Mode]]))</f>
        <v>CREDIT CARD</v>
      </c>
    </row>
    <row r="234" spans="1:16" x14ac:dyDescent="0.35">
      <c r="A234" s="4" t="s">
        <v>306</v>
      </c>
      <c r="B234" s="6">
        <v>45821</v>
      </c>
      <c r="C234" t="s">
        <v>168</v>
      </c>
      <c r="D234" t="str">
        <f>TRIM(SalesData[[#This Row],[Customer Name]])</f>
        <v>Kavita Singh</v>
      </c>
      <c r="E234" t="s">
        <v>40</v>
      </c>
      <c r="F234" t="s">
        <v>23</v>
      </c>
      <c r="G234" t="s">
        <v>41</v>
      </c>
      <c r="H234" t="s">
        <v>42</v>
      </c>
      <c r="I234" s="10">
        <v>1</v>
      </c>
      <c r="J234" s="12">
        <v>0.05</v>
      </c>
      <c r="K234" s="8">
        <v>1717.55</v>
      </c>
      <c r="L234">
        <v>1631.67</v>
      </c>
      <c r="M234" s="8">
        <v>732.79</v>
      </c>
      <c r="N234" s="8">
        <v>898.88</v>
      </c>
      <c r="O234" t="s">
        <v>37</v>
      </c>
      <c r="P234" t="str">
        <f>UPPER(TRIM(SalesData[[#This Row],[Payment Mode]]))</f>
        <v>DEBIT CARD</v>
      </c>
    </row>
    <row r="235" spans="1:16" x14ac:dyDescent="0.35">
      <c r="A235" s="4" t="s">
        <v>307</v>
      </c>
      <c r="B235" s="6">
        <v>45821</v>
      </c>
      <c r="C235" t="s">
        <v>93</v>
      </c>
      <c r="D235" t="str">
        <f>TRIM(SalesData[[#This Row],[Customer Name]])</f>
        <v>Aditya Joshi</v>
      </c>
      <c r="E235" t="s">
        <v>73</v>
      </c>
      <c r="F235" t="s">
        <v>74</v>
      </c>
      <c r="G235" t="s">
        <v>107</v>
      </c>
      <c r="H235" t="s">
        <v>36</v>
      </c>
      <c r="I235" s="10">
        <v>3</v>
      </c>
      <c r="J235" s="12">
        <v>0</v>
      </c>
      <c r="K235" s="8">
        <v>1743.61</v>
      </c>
      <c r="L235">
        <v>5230.83</v>
      </c>
      <c r="M235" s="8">
        <v>1726.92</v>
      </c>
      <c r="N235" s="8">
        <v>3503.91</v>
      </c>
      <c r="O235" t="s">
        <v>26</v>
      </c>
      <c r="P235" t="str">
        <f>UPPER(TRIM(SalesData[[#This Row],[Payment Mode]]))</f>
        <v>NET BANKING</v>
      </c>
    </row>
    <row r="236" spans="1:16" x14ac:dyDescent="0.35">
      <c r="A236" s="4" t="s">
        <v>308</v>
      </c>
      <c r="B236" s="6">
        <v>45823</v>
      </c>
      <c r="C236" t="s">
        <v>34</v>
      </c>
      <c r="D236" t="str">
        <f>TRIM(SalesData[[#This Row],[Customer Name]])</f>
        <v>Meera Desai</v>
      </c>
      <c r="E236" t="s">
        <v>86</v>
      </c>
      <c r="F236" t="s">
        <v>87</v>
      </c>
      <c r="G236" t="s">
        <v>107</v>
      </c>
      <c r="H236" t="s">
        <v>36</v>
      </c>
      <c r="I236" s="10">
        <v>3</v>
      </c>
      <c r="J236" s="12">
        <v>0</v>
      </c>
      <c r="K236" s="8">
        <v>1798.95</v>
      </c>
      <c r="L236">
        <v>5396.85</v>
      </c>
      <c r="M236" s="8">
        <v>1864.98</v>
      </c>
      <c r="N236" s="8">
        <v>3531.87</v>
      </c>
      <c r="O236" t="s">
        <v>37</v>
      </c>
      <c r="P236" t="str">
        <f>UPPER(TRIM(SalesData[[#This Row],[Payment Mode]]))</f>
        <v>DEBIT CARD</v>
      </c>
    </row>
    <row r="237" spans="1:16" x14ac:dyDescent="0.35">
      <c r="A237" s="4" t="s">
        <v>309</v>
      </c>
      <c r="B237" s="6">
        <v>45824</v>
      </c>
      <c r="C237" t="s">
        <v>50</v>
      </c>
      <c r="D237" t="str">
        <f>TRIM(SalesData[[#This Row],[Customer Name]])</f>
        <v>Priya Patil</v>
      </c>
      <c r="E237" t="s">
        <v>83</v>
      </c>
      <c r="F237" t="s">
        <v>23</v>
      </c>
      <c r="G237" t="s">
        <v>24</v>
      </c>
      <c r="H237" t="s">
        <v>25</v>
      </c>
      <c r="I237" s="10">
        <v>3</v>
      </c>
      <c r="J237" s="12">
        <v>0.05</v>
      </c>
      <c r="K237" s="8">
        <v>8884.06</v>
      </c>
      <c r="L237">
        <v>25319.57</v>
      </c>
      <c r="M237" s="8">
        <v>13636.44</v>
      </c>
      <c r="N237" s="8">
        <v>11683.13</v>
      </c>
      <c r="O237" t="s">
        <v>19</v>
      </c>
      <c r="P237" t="str">
        <f>UPPER(TRIM(SalesData[[#This Row],[Payment Mode]]))</f>
        <v>CASH</v>
      </c>
    </row>
    <row r="238" spans="1:16" x14ac:dyDescent="0.35">
      <c r="A238" s="4" t="s">
        <v>310</v>
      </c>
      <c r="B238" s="6">
        <v>45825</v>
      </c>
      <c r="C238" t="s">
        <v>67</v>
      </c>
      <c r="D238" t="str">
        <f>TRIM(SalesData[[#This Row],[Customer Name]])</f>
        <v>Anjali Chavan</v>
      </c>
      <c r="E238" t="s">
        <v>28</v>
      </c>
      <c r="F238" t="s">
        <v>23</v>
      </c>
      <c r="G238" t="s">
        <v>32</v>
      </c>
      <c r="H238" t="s">
        <v>18</v>
      </c>
      <c r="I238" s="10">
        <v>1</v>
      </c>
      <c r="J238" s="12">
        <v>0.1</v>
      </c>
      <c r="K238" s="8">
        <v>53667.33</v>
      </c>
      <c r="L238">
        <v>48300.6</v>
      </c>
      <c r="M238" s="8">
        <v>42528.95</v>
      </c>
      <c r="N238" s="8">
        <v>5771.65</v>
      </c>
      <c r="O238" t="s">
        <v>37</v>
      </c>
      <c r="P238" t="str">
        <f>UPPER(TRIM(SalesData[[#This Row],[Payment Mode]]))</f>
        <v>DEBIT CARD</v>
      </c>
    </row>
    <row r="239" spans="1:16" x14ac:dyDescent="0.35">
      <c r="A239" s="4" t="s">
        <v>311</v>
      </c>
      <c r="B239" s="6">
        <v>45825</v>
      </c>
      <c r="C239" t="s">
        <v>116</v>
      </c>
      <c r="D239" t="str">
        <f>TRIM(SalesData[[#This Row],[Customer Name]])</f>
        <v>Sneha Kulkarni</v>
      </c>
      <c r="E239" t="s">
        <v>46</v>
      </c>
      <c r="F239" t="s">
        <v>23</v>
      </c>
      <c r="G239" t="s">
        <v>77</v>
      </c>
      <c r="H239" t="s">
        <v>25</v>
      </c>
      <c r="I239" s="10">
        <v>3</v>
      </c>
      <c r="J239" s="12">
        <v>0.05</v>
      </c>
      <c r="K239" s="8">
        <v>7597.69</v>
      </c>
      <c r="L239">
        <v>21653.42</v>
      </c>
      <c r="M239" s="8">
        <v>10235.790000000001</v>
      </c>
      <c r="N239" s="8">
        <v>11417.63</v>
      </c>
      <c r="O239" t="s">
        <v>48</v>
      </c>
      <c r="P239" t="str">
        <f>UPPER(TRIM(SalesData[[#This Row],[Payment Mode]]))</f>
        <v>CREDIT CARD</v>
      </c>
    </row>
    <row r="240" spans="1:16" x14ac:dyDescent="0.35">
      <c r="A240" s="4" t="s">
        <v>312</v>
      </c>
      <c r="B240" s="6">
        <v>45825</v>
      </c>
      <c r="C240" t="s">
        <v>89</v>
      </c>
      <c r="D240" t="str">
        <f>TRIM(SalesData[[#This Row],[Customer Name]])</f>
        <v>Kunal Thakur</v>
      </c>
      <c r="E240" t="s">
        <v>28</v>
      </c>
      <c r="F240" t="s">
        <v>23</v>
      </c>
      <c r="G240" t="s">
        <v>24</v>
      </c>
      <c r="H240" t="s">
        <v>25</v>
      </c>
      <c r="I240" s="10">
        <v>4</v>
      </c>
      <c r="J240" s="12">
        <v>0.05</v>
      </c>
      <c r="K240" s="8">
        <v>9000.98</v>
      </c>
      <c r="L240">
        <v>34203.72</v>
      </c>
      <c r="M240" s="8">
        <v>18371.16</v>
      </c>
      <c r="N240" s="8">
        <v>15832.56</v>
      </c>
      <c r="O240" t="s">
        <v>26</v>
      </c>
      <c r="P240" t="str">
        <f>UPPER(TRIM(SalesData[[#This Row],[Payment Mode]]))</f>
        <v>NET BANKING</v>
      </c>
    </row>
    <row r="241" spans="1:16" x14ac:dyDescent="0.35">
      <c r="A241" s="4" t="s">
        <v>313</v>
      </c>
      <c r="B241" s="6">
        <v>45826</v>
      </c>
      <c r="C241" t="s">
        <v>59</v>
      </c>
      <c r="D241" t="str">
        <f>TRIM(SalesData[[#This Row],[Customer Name]])</f>
        <v>Rohan Deshmukh</v>
      </c>
      <c r="E241" t="s">
        <v>22</v>
      </c>
      <c r="F241" t="s">
        <v>23</v>
      </c>
      <c r="G241" t="s">
        <v>35</v>
      </c>
      <c r="H241" t="s">
        <v>36</v>
      </c>
      <c r="I241" s="10">
        <v>2</v>
      </c>
      <c r="J241" s="12">
        <v>0</v>
      </c>
      <c r="K241" s="8">
        <v>1175.93</v>
      </c>
      <c r="L241">
        <v>2351.86</v>
      </c>
      <c r="M241" s="8">
        <v>690.12</v>
      </c>
      <c r="N241" s="8">
        <v>1661.74</v>
      </c>
      <c r="O241" t="s">
        <v>43</v>
      </c>
      <c r="P241" t="str">
        <f>UPPER(TRIM(SalesData[[#This Row],[Payment Mode]]))</f>
        <v>UPI</v>
      </c>
    </row>
    <row r="242" spans="1:16" x14ac:dyDescent="0.35">
      <c r="A242" s="4" t="s">
        <v>314</v>
      </c>
      <c r="B242" s="6">
        <v>45828</v>
      </c>
      <c r="C242" t="s">
        <v>50</v>
      </c>
      <c r="D242" t="str">
        <f>TRIM(SalesData[[#This Row],[Customer Name]])</f>
        <v>Priya Patil</v>
      </c>
      <c r="E242" t="s">
        <v>31</v>
      </c>
      <c r="F242" t="s">
        <v>23</v>
      </c>
      <c r="G242" t="s">
        <v>107</v>
      </c>
      <c r="H242" t="s">
        <v>36</v>
      </c>
      <c r="I242" s="10">
        <v>5</v>
      </c>
      <c r="J242" s="12">
        <v>0.05</v>
      </c>
      <c r="K242" s="8">
        <v>1814.57</v>
      </c>
      <c r="L242">
        <v>8619.2099999999991</v>
      </c>
      <c r="M242" s="8">
        <v>3147.2</v>
      </c>
      <c r="N242" s="8">
        <v>5472.01</v>
      </c>
      <c r="O242" t="s">
        <v>48</v>
      </c>
      <c r="P242" t="str">
        <f>UPPER(TRIM(SalesData[[#This Row],[Payment Mode]]))</f>
        <v>CREDIT CARD</v>
      </c>
    </row>
    <row r="243" spans="1:16" x14ac:dyDescent="0.35">
      <c r="A243" s="4" t="s">
        <v>315</v>
      </c>
      <c r="B243" s="6">
        <v>45828</v>
      </c>
      <c r="C243" t="s">
        <v>93</v>
      </c>
      <c r="D243" t="str">
        <f>TRIM(SalesData[[#This Row],[Customer Name]])</f>
        <v>Aditya Joshi</v>
      </c>
      <c r="E243" t="s">
        <v>46</v>
      </c>
      <c r="F243" t="s">
        <v>23</v>
      </c>
      <c r="G243" t="s">
        <v>101</v>
      </c>
      <c r="H243" t="s">
        <v>18</v>
      </c>
      <c r="I243" s="10">
        <v>2</v>
      </c>
      <c r="J243" s="12">
        <v>0</v>
      </c>
      <c r="K243" s="8">
        <v>18010.53</v>
      </c>
      <c r="L243">
        <v>36021.06</v>
      </c>
      <c r="M243" s="8">
        <v>16545.12</v>
      </c>
      <c r="N243" s="8">
        <v>19475.939999999999</v>
      </c>
      <c r="O243" t="s">
        <v>26</v>
      </c>
      <c r="P243" t="str">
        <f>UPPER(TRIM(SalesData[[#This Row],[Payment Mode]]))</f>
        <v>NET BANKING</v>
      </c>
    </row>
    <row r="244" spans="1:16" x14ac:dyDescent="0.35">
      <c r="A244" s="4" t="s">
        <v>316</v>
      </c>
      <c r="B244" s="6">
        <v>45829</v>
      </c>
      <c r="C244" t="s">
        <v>50</v>
      </c>
      <c r="D244" t="str">
        <f>TRIM(SalesData[[#This Row],[Customer Name]])</f>
        <v>Priya Patil</v>
      </c>
      <c r="E244" t="s">
        <v>53</v>
      </c>
      <c r="F244" t="s">
        <v>54</v>
      </c>
      <c r="G244" t="s">
        <v>75</v>
      </c>
      <c r="H244" t="s">
        <v>18</v>
      </c>
      <c r="I244" s="10">
        <v>4</v>
      </c>
      <c r="J244" s="12">
        <v>0</v>
      </c>
      <c r="K244" s="8">
        <v>15732.8</v>
      </c>
      <c r="L244">
        <v>62931.199999999997</v>
      </c>
      <c r="M244" s="8">
        <v>36610.160000000003</v>
      </c>
      <c r="N244" s="8">
        <v>26321.040000000001</v>
      </c>
      <c r="O244" t="s">
        <v>43</v>
      </c>
      <c r="P244" t="str">
        <f>UPPER(TRIM(SalesData[[#This Row],[Payment Mode]]))</f>
        <v>UPI</v>
      </c>
    </row>
    <row r="245" spans="1:16" x14ac:dyDescent="0.35">
      <c r="A245" s="4" t="s">
        <v>317</v>
      </c>
      <c r="B245" s="6">
        <v>45831</v>
      </c>
      <c r="C245" t="s">
        <v>59</v>
      </c>
      <c r="D245" t="str">
        <f>TRIM(SalesData[[#This Row],[Customer Name]])</f>
        <v>Rohan Deshmukh</v>
      </c>
      <c r="E245" t="s">
        <v>105</v>
      </c>
      <c r="F245" t="s">
        <v>106</v>
      </c>
      <c r="G245" t="s">
        <v>65</v>
      </c>
      <c r="H245" t="s">
        <v>18</v>
      </c>
      <c r="I245" s="10">
        <v>2</v>
      </c>
      <c r="J245" s="12">
        <v>0.1</v>
      </c>
      <c r="K245" s="8">
        <v>21743.23</v>
      </c>
      <c r="L245">
        <v>39137.81</v>
      </c>
      <c r="M245" s="8">
        <v>27981.8</v>
      </c>
      <c r="N245" s="8">
        <v>11156.01</v>
      </c>
      <c r="O245" t="s">
        <v>48</v>
      </c>
      <c r="P245" t="str">
        <f>UPPER(TRIM(SalesData[[#This Row],[Payment Mode]]))</f>
        <v>CREDIT CARD</v>
      </c>
    </row>
    <row r="246" spans="1:16" x14ac:dyDescent="0.35">
      <c r="A246" s="4" t="s">
        <v>318</v>
      </c>
      <c r="B246" s="6">
        <v>45832</v>
      </c>
      <c r="C246" t="s">
        <v>319</v>
      </c>
      <c r="D246" t="str">
        <f>TRIM(SalesData[[#This Row],[Customer Name]])</f>
        <v>Rohan Deshmukh</v>
      </c>
      <c r="E246" t="s">
        <v>28</v>
      </c>
      <c r="F246" t="s">
        <v>23</v>
      </c>
      <c r="G246" t="s">
        <v>107</v>
      </c>
      <c r="H246" t="s">
        <v>36</v>
      </c>
      <c r="I246" s="10">
        <v>4</v>
      </c>
      <c r="J246" s="12">
        <v>0</v>
      </c>
      <c r="K246" s="8">
        <v>1831.34</v>
      </c>
      <c r="L246">
        <v>7325.36</v>
      </c>
      <c r="M246" s="8">
        <v>2342.36</v>
      </c>
      <c r="N246" s="8">
        <v>4983</v>
      </c>
      <c r="O246" t="s">
        <v>19</v>
      </c>
      <c r="P246" t="str">
        <f>UPPER(TRIM(SalesData[[#This Row],[Payment Mode]]))</f>
        <v>CASH</v>
      </c>
    </row>
    <row r="247" spans="1:16" x14ac:dyDescent="0.35">
      <c r="A247" s="4" t="s">
        <v>320</v>
      </c>
      <c r="B247" s="6">
        <v>45833</v>
      </c>
      <c r="C247" t="s">
        <v>15</v>
      </c>
      <c r="D247" t="str">
        <f>TRIM(SalesData[[#This Row],[Customer Name]])</f>
        <v>Isha Bhosale</v>
      </c>
      <c r="E247" t="s">
        <v>46</v>
      </c>
      <c r="F247" t="s">
        <v>23</v>
      </c>
      <c r="G247" t="s">
        <v>35</v>
      </c>
      <c r="H247" t="s">
        <v>36</v>
      </c>
      <c r="I247" s="10">
        <v>2</v>
      </c>
      <c r="J247" s="12">
        <v>0.1</v>
      </c>
      <c r="K247" s="8">
        <v>1169.8800000000001</v>
      </c>
      <c r="L247">
        <v>2105.7800000000002</v>
      </c>
      <c r="M247" s="8">
        <v>705.36</v>
      </c>
      <c r="N247" s="8">
        <v>1400.42</v>
      </c>
      <c r="O247" t="s">
        <v>19</v>
      </c>
      <c r="P247" t="str">
        <f>UPPER(TRIM(SalesData[[#This Row],[Payment Mode]]))</f>
        <v>CASH</v>
      </c>
    </row>
    <row r="248" spans="1:16" x14ac:dyDescent="0.35">
      <c r="A248" s="4" t="s">
        <v>321</v>
      </c>
      <c r="B248" s="6">
        <v>45834</v>
      </c>
      <c r="C248" t="s">
        <v>45</v>
      </c>
      <c r="D248" t="str">
        <f>TRIM(SalesData[[#This Row],[Customer Name]])</f>
        <v>Nikhil Gupta</v>
      </c>
      <c r="E248" t="s">
        <v>53</v>
      </c>
      <c r="F248" t="s">
        <v>54</v>
      </c>
      <c r="G248" t="s">
        <v>17</v>
      </c>
      <c r="H248" t="s">
        <v>18</v>
      </c>
      <c r="I248" s="10">
        <v>5</v>
      </c>
      <c r="J248" s="12">
        <v>0</v>
      </c>
      <c r="K248" s="8">
        <v>12163.68</v>
      </c>
      <c r="L248">
        <v>60818.400000000001</v>
      </c>
      <c r="M248" s="8">
        <v>31041.200000000001</v>
      </c>
      <c r="N248" s="8">
        <v>29777.200000000001</v>
      </c>
      <c r="O248" t="s">
        <v>19</v>
      </c>
      <c r="P248" t="str">
        <f>UPPER(TRIM(SalesData[[#This Row],[Payment Mode]]))</f>
        <v>CASH</v>
      </c>
    </row>
    <row r="249" spans="1:16" x14ac:dyDescent="0.35">
      <c r="A249" s="4" t="s">
        <v>322</v>
      </c>
      <c r="B249" s="6">
        <v>45835</v>
      </c>
      <c r="C249" t="s">
        <v>72</v>
      </c>
      <c r="D249" t="str">
        <f>TRIM(SalesData[[#This Row],[Customer Name]])</f>
        <v>Riya Shah</v>
      </c>
      <c r="E249" t="s">
        <v>16</v>
      </c>
      <c r="F249" t="s">
        <v>16</v>
      </c>
      <c r="G249" t="s">
        <v>35</v>
      </c>
      <c r="H249" t="s">
        <v>36</v>
      </c>
      <c r="I249" s="10">
        <v>1</v>
      </c>
      <c r="J249" s="12">
        <v>0.05</v>
      </c>
      <c r="K249" s="8">
        <v>1211.67</v>
      </c>
      <c r="L249">
        <v>1151.0899999999999</v>
      </c>
      <c r="M249" s="8">
        <v>350.88</v>
      </c>
      <c r="N249" s="8">
        <v>800.21</v>
      </c>
      <c r="O249" t="s">
        <v>43</v>
      </c>
      <c r="P249" t="str">
        <f>UPPER(TRIM(SalesData[[#This Row],[Payment Mode]]))</f>
        <v>UPI</v>
      </c>
    </row>
    <row r="250" spans="1:16" x14ac:dyDescent="0.35">
      <c r="A250" s="4" t="s">
        <v>323</v>
      </c>
      <c r="B250" s="6">
        <v>45835</v>
      </c>
      <c r="C250" t="s">
        <v>85</v>
      </c>
      <c r="D250" t="str">
        <f>TRIM(SalesData[[#This Row],[Customer Name]])</f>
        <v>Amit Verma</v>
      </c>
      <c r="E250" t="s">
        <v>73</v>
      </c>
      <c r="F250" t="s">
        <v>74</v>
      </c>
      <c r="G250" t="s">
        <v>32</v>
      </c>
      <c r="H250" t="s">
        <v>18</v>
      </c>
      <c r="I250" s="10">
        <v>2</v>
      </c>
      <c r="J250" s="12">
        <v>0.05</v>
      </c>
      <c r="K250" s="8">
        <v>49948.46</v>
      </c>
      <c r="L250">
        <v>94902.07</v>
      </c>
      <c r="M250" s="8">
        <v>85316.96</v>
      </c>
      <c r="N250" s="8">
        <v>9585.11</v>
      </c>
      <c r="O250" t="s">
        <v>37</v>
      </c>
      <c r="P250" t="str">
        <f>UPPER(TRIM(SalesData[[#This Row],[Payment Mode]]))</f>
        <v>DEBIT CARD</v>
      </c>
    </row>
    <row r="251" spans="1:16" x14ac:dyDescent="0.35">
      <c r="A251" s="4" t="s">
        <v>324</v>
      </c>
      <c r="B251" s="6">
        <v>45835</v>
      </c>
      <c r="C251" t="s">
        <v>59</v>
      </c>
      <c r="D251" t="str">
        <f>TRIM(SalesData[[#This Row],[Customer Name]])</f>
        <v>Rohan Deshmukh</v>
      </c>
      <c r="E251" t="s">
        <v>105</v>
      </c>
      <c r="F251" t="s">
        <v>106</v>
      </c>
      <c r="G251" t="s">
        <v>60</v>
      </c>
      <c r="H251" t="s">
        <v>36</v>
      </c>
      <c r="I251" s="10">
        <v>2</v>
      </c>
      <c r="J251" s="12">
        <v>0</v>
      </c>
      <c r="K251" s="8">
        <v>3530.02</v>
      </c>
      <c r="L251">
        <v>7060.04</v>
      </c>
      <c r="M251" s="8">
        <v>2505.66</v>
      </c>
      <c r="N251" s="8">
        <v>4554.38</v>
      </c>
      <c r="O251" t="s">
        <v>19</v>
      </c>
      <c r="P251" t="str">
        <f>UPPER(TRIM(SalesData[[#This Row],[Payment Mode]]))</f>
        <v>CASH</v>
      </c>
    </row>
    <row r="252" spans="1:16" x14ac:dyDescent="0.35">
      <c r="A252" s="4" t="s">
        <v>325</v>
      </c>
      <c r="B252" s="6">
        <v>45836</v>
      </c>
      <c r="C252" t="s">
        <v>34</v>
      </c>
      <c r="D252" t="str">
        <f>TRIM(SalesData[[#This Row],[Customer Name]])</f>
        <v>Meera Desai</v>
      </c>
      <c r="E252" t="s">
        <v>28</v>
      </c>
      <c r="F252" t="s">
        <v>23</v>
      </c>
      <c r="G252" t="s">
        <v>32</v>
      </c>
      <c r="H252" t="s">
        <v>18</v>
      </c>
      <c r="I252" s="10">
        <v>3</v>
      </c>
      <c r="J252" s="12">
        <v>0.05</v>
      </c>
      <c r="K252" s="8">
        <v>54256.15</v>
      </c>
      <c r="L252">
        <v>154630.03</v>
      </c>
      <c r="M252" s="8">
        <v>123683.58</v>
      </c>
      <c r="N252" s="8">
        <v>30946.45</v>
      </c>
      <c r="O252" t="s">
        <v>19</v>
      </c>
      <c r="P252" t="str">
        <f>UPPER(TRIM(SalesData[[#This Row],[Payment Mode]]))</f>
        <v>CASH</v>
      </c>
    </row>
    <row r="253" spans="1:16" x14ac:dyDescent="0.35">
      <c r="A253" s="4" t="s">
        <v>326</v>
      </c>
      <c r="B253" s="6">
        <v>45838</v>
      </c>
      <c r="C253" t="s">
        <v>67</v>
      </c>
      <c r="D253" t="str">
        <f>TRIM(SalesData[[#This Row],[Customer Name]])</f>
        <v>Anjali Chavan</v>
      </c>
      <c r="E253" t="s">
        <v>73</v>
      </c>
      <c r="F253" t="s">
        <v>74</v>
      </c>
      <c r="G253" t="s">
        <v>32</v>
      </c>
      <c r="H253" t="s">
        <v>18</v>
      </c>
      <c r="I253" s="10">
        <v>3</v>
      </c>
      <c r="J253" s="12">
        <v>0.1</v>
      </c>
      <c r="K253" s="8">
        <v>53083.49</v>
      </c>
      <c r="L253">
        <v>143325.42000000001</v>
      </c>
      <c r="M253" s="8">
        <v>130246.38</v>
      </c>
      <c r="N253" s="8">
        <v>13079.04</v>
      </c>
      <c r="O253" t="s">
        <v>19</v>
      </c>
      <c r="P253" t="str">
        <f>UPPER(TRIM(SalesData[[#This Row],[Payment Mode]]))</f>
        <v>CASH</v>
      </c>
    </row>
    <row r="254" spans="1:16" x14ac:dyDescent="0.35">
      <c r="A254" s="4" t="s">
        <v>327</v>
      </c>
      <c r="B254" s="6">
        <v>45838</v>
      </c>
      <c r="C254" t="s">
        <v>72</v>
      </c>
      <c r="D254" t="str">
        <f>TRIM(SalesData[[#This Row],[Customer Name]])</f>
        <v>Riya Shah</v>
      </c>
      <c r="E254" t="s">
        <v>83</v>
      </c>
      <c r="F254" t="s">
        <v>23</v>
      </c>
      <c r="G254" t="s">
        <v>32</v>
      </c>
      <c r="H254" t="s">
        <v>18</v>
      </c>
      <c r="I254" s="10">
        <v>3</v>
      </c>
      <c r="J254" s="12">
        <v>0</v>
      </c>
      <c r="K254" s="8">
        <v>52634.61</v>
      </c>
      <c r="L254">
        <v>157903.82999999999</v>
      </c>
      <c r="M254" s="8">
        <v>132204.78</v>
      </c>
      <c r="N254" s="8">
        <v>25699.05</v>
      </c>
      <c r="O254" t="s">
        <v>19</v>
      </c>
      <c r="P254" t="str">
        <f>UPPER(TRIM(SalesData[[#This Row],[Payment Mode]]))</f>
        <v>CASH</v>
      </c>
    </row>
    <row r="255" spans="1:16" x14ac:dyDescent="0.35">
      <c r="A255" s="4" t="s">
        <v>328</v>
      </c>
      <c r="B255" s="6">
        <v>45840</v>
      </c>
      <c r="C255" t="s">
        <v>93</v>
      </c>
      <c r="D255" t="str">
        <f>TRIM(SalesData[[#This Row],[Customer Name]])</f>
        <v>Aditya Joshi</v>
      </c>
      <c r="E255" t="s">
        <v>22</v>
      </c>
      <c r="F255" t="s">
        <v>23</v>
      </c>
      <c r="G255" t="s">
        <v>101</v>
      </c>
      <c r="H255" t="s">
        <v>18</v>
      </c>
      <c r="I255" s="10">
        <v>1</v>
      </c>
      <c r="J255" s="12">
        <v>0</v>
      </c>
      <c r="K255" s="8">
        <v>18174.330000000002</v>
      </c>
      <c r="L255">
        <v>18174.330000000002</v>
      </c>
      <c r="M255" s="8">
        <v>8342.5499999999993</v>
      </c>
      <c r="N255" s="8">
        <v>9831.7800000000007</v>
      </c>
      <c r="O255" t="s">
        <v>37</v>
      </c>
      <c r="P255" t="str">
        <f>UPPER(TRIM(SalesData[[#This Row],[Payment Mode]]))</f>
        <v>DEBIT CARD</v>
      </c>
    </row>
    <row r="256" spans="1:16" x14ac:dyDescent="0.35">
      <c r="A256" s="4" t="s">
        <v>329</v>
      </c>
      <c r="B256" s="6">
        <v>45840</v>
      </c>
      <c r="C256" t="s">
        <v>168</v>
      </c>
      <c r="D256" t="str">
        <f>TRIM(SalesData[[#This Row],[Customer Name]])</f>
        <v>Kavita Singh</v>
      </c>
      <c r="E256" t="s">
        <v>86</v>
      </c>
      <c r="F256" t="s">
        <v>87</v>
      </c>
      <c r="G256" t="s">
        <v>47</v>
      </c>
      <c r="H256" t="s">
        <v>25</v>
      </c>
      <c r="I256" s="10">
        <v>4</v>
      </c>
      <c r="J256" s="12">
        <v>0.05</v>
      </c>
      <c r="K256" s="8">
        <v>6231</v>
      </c>
      <c r="L256">
        <v>23677.8</v>
      </c>
      <c r="M256" s="8">
        <v>10030.280000000001</v>
      </c>
      <c r="N256" s="8">
        <v>13647.52</v>
      </c>
      <c r="O256" t="s">
        <v>43</v>
      </c>
      <c r="P256" t="str">
        <f>UPPER(TRIM(SalesData[[#This Row],[Payment Mode]]))</f>
        <v>UPI</v>
      </c>
    </row>
    <row r="257" spans="1:16" x14ac:dyDescent="0.35">
      <c r="A257" s="4" t="s">
        <v>330</v>
      </c>
      <c r="B257" s="6">
        <v>45841</v>
      </c>
      <c r="C257" t="s">
        <v>85</v>
      </c>
      <c r="D257" t="str">
        <f>TRIM(SalesData[[#This Row],[Customer Name]])</f>
        <v>Amit Verma</v>
      </c>
      <c r="E257" t="s">
        <v>83</v>
      </c>
      <c r="F257" t="s">
        <v>23</v>
      </c>
      <c r="G257" t="s">
        <v>35</v>
      </c>
      <c r="H257" t="s">
        <v>36</v>
      </c>
      <c r="I257" s="10">
        <v>2</v>
      </c>
      <c r="J257" s="12">
        <v>0.1</v>
      </c>
      <c r="K257" s="8">
        <v>1172.18</v>
      </c>
      <c r="L257">
        <v>2109.92</v>
      </c>
      <c r="M257" s="8">
        <v>675.94</v>
      </c>
      <c r="N257" s="8">
        <v>1433.98</v>
      </c>
      <c r="O257" t="s">
        <v>19</v>
      </c>
      <c r="P257" t="str">
        <f>UPPER(TRIM(SalesData[[#This Row],[Payment Mode]]))</f>
        <v>CASH</v>
      </c>
    </row>
    <row r="258" spans="1:16" x14ac:dyDescent="0.35">
      <c r="A258" s="4" t="s">
        <v>331</v>
      </c>
      <c r="B258" s="6">
        <v>45841</v>
      </c>
      <c r="C258" t="s">
        <v>39</v>
      </c>
      <c r="D258" t="str">
        <f>TRIM(SalesData[[#This Row],[Customer Name]])</f>
        <v>Akash Wagh</v>
      </c>
      <c r="E258" t="s">
        <v>16</v>
      </c>
      <c r="F258" t="s">
        <v>16</v>
      </c>
      <c r="G258" t="s">
        <v>47</v>
      </c>
      <c r="H258" t="s">
        <v>25</v>
      </c>
      <c r="I258" s="10">
        <v>2</v>
      </c>
      <c r="J258" s="12">
        <v>0.15</v>
      </c>
      <c r="K258" s="8">
        <v>5845.23</v>
      </c>
      <c r="L258">
        <v>9936.89</v>
      </c>
      <c r="M258" s="8">
        <v>5086.0600000000004</v>
      </c>
      <c r="N258" s="8">
        <v>4850.83</v>
      </c>
      <c r="O258" t="s">
        <v>26</v>
      </c>
      <c r="P258" t="str">
        <f>UPPER(TRIM(SalesData[[#This Row],[Payment Mode]]))</f>
        <v>NET BANKING</v>
      </c>
    </row>
    <row r="259" spans="1:16" x14ac:dyDescent="0.35">
      <c r="A259" s="4" t="s">
        <v>332</v>
      </c>
      <c r="B259" s="6">
        <v>45844</v>
      </c>
      <c r="C259" t="s">
        <v>56</v>
      </c>
      <c r="D259" t="str">
        <f>TRIM(SalesData[[#This Row],[Customer Name]])</f>
        <v>Pooja Shinde</v>
      </c>
      <c r="E259" t="s">
        <v>83</v>
      </c>
      <c r="F259" t="s">
        <v>23</v>
      </c>
      <c r="G259" t="s">
        <v>47</v>
      </c>
      <c r="H259" t="s">
        <v>25</v>
      </c>
      <c r="I259" s="10">
        <v>1</v>
      </c>
      <c r="J259" s="12">
        <v>0.1</v>
      </c>
      <c r="K259" s="8">
        <v>5944.08</v>
      </c>
      <c r="L259">
        <v>5349.67</v>
      </c>
      <c r="M259" s="8">
        <v>2457.06</v>
      </c>
      <c r="N259" s="8">
        <v>2892.61</v>
      </c>
      <c r="O259" t="s">
        <v>26</v>
      </c>
      <c r="P259" t="str">
        <f>UPPER(TRIM(SalesData[[#This Row],[Payment Mode]]))</f>
        <v>NET BANKING</v>
      </c>
    </row>
    <row r="260" spans="1:16" x14ac:dyDescent="0.35">
      <c r="A260" s="4" t="s">
        <v>333</v>
      </c>
      <c r="B260" s="6">
        <v>45845</v>
      </c>
      <c r="C260" t="s">
        <v>21</v>
      </c>
      <c r="D260" t="str">
        <f>TRIM(SalesData[[#This Row],[Customer Name]])</f>
        <v>Aarav Sharma</v>
      </c>
      <c r="E260" t="s">
        <v>31</v>
      </c>
      <c r="F260" t="s">
        <v>23</v>
      </c>
      <c r="G260" t="s">
        <v>41</v>
      </c>
      <c r="H260" t="s">
        <v>42</v>
      </c>
      <c r="I260" s="10">
        <v>5</v>
      </c>
      <c r="J260" s="12">
        <v>0.1</v>
      </c>
      <c r="K260" s="8">
        <v>1787.07</v>
      </c>
      <c r="L260">
        <v>8041.82</v>
      </c>
      <c r="M260" s="8">
        <v>3663.35</v>
      </c>
      <c r="N260" s="8">
        <v>4378.47</v>
      </c>
      <c r="O260" t="s">
        <v>19</v>
      </c>
      <c r="P260" t="str">
        <f>UPPER(TRIM(SalesData[[#This Row],[Payment Mode]]))</f>
        <v>CASH</v>
      </c>
    </row>
    <row r="261" spans="1:16" x14ac:dyDescent="0.35">
      <c r="A261" s="4" t="s">
        <v>334</v>
      </c>
      <c r="B261" s="6">
        <v>45845</v>
      </c>
      <c r="C261" t="s">
        <v>85</v>
      </c>
      <c r="D261" t="str">
        <f>TRIM(SalesData[[#This Row],[Customer Name]])</f>
        <v>Amit Verma</v>
      </c>
      <c r="E261" t="s">
        <v>28</v>
      </c>
      <c r="F261" t="s">
        <v>23</v>
      </c>
      <c r="G261" t="s">
        <v>107</v>
      </c>
      <c r="H261" t="s">
        <v>36</v>
      </c>
      <c r="I261" s="10">
        <v>2</v>
      </c>
      <c r="J261" s="12">
        <v>0</v>
      </c>
      <c r="K261" s="8">
        <v>1717.67</v>
      </c>
      <c r="L261">
        <v>3435.34</v>
      </c>
      <c r="M261" s="8">
        <v>1184.56</v>
      </c>
      <c r="N261" s="8">
        <v>2250.7800000000002</v>
      </c>
      <c r="O261" t="s">
        <v>26</v>
      </c>
      <c r="P261" t="str">
        <f>UPPER(TRIM(SalesData[[#This Row],[Payment Mode]]))</f>
        <v>NET BANKING</v>
      </c>
    </row>
    <row r="262" spans="1:16" x14ac:dyDescent="0.35">
      <c r="A262" s="4" t="s">
        <v>335</v>
      </c>
      <c r="B262" s="6">
        <v>45845</v>
      </c>
      <c r="C262" t="s">
        <v>62</v>
      </c>
      <c r="D262" t="str">
        <f>TRIM(SalesData[[#This Row],[Customer Name]])</f>
        <v>Vivek More</v>
      </c>
      <c r="E262" t="s">
        <v>40</v>
      </c>
      <c r="F262" t="s">
        <v>23</v>
      </c>
      <c r="G262" t="s">
        <v>41</v>
      </c>
      <c r="H262" t="s">
        <v>42</v>
      </c>
      <c r="I262" s="10">
        <v>5</v>
      </c>
      <c r="J262" s="12">
        <v>0.05</v>
      </c>
      <c r="K262" s="8">
        <v>1735.71</v>
      </c>
      <c r="L262">
        <v>8244.6200000000008</v>
      </c>
      <c r="M262" s="8">
        <v>3588.7</v>
      </c>
      <c r="N262" s="8">
        <v>4655.92</v>
      </c>
      <c r="O262" t="s">
        <v>43</v>
      </c>
      <c r="P262" t="str">
        <f>UPPER(TRIM(SalesData[[#This Row],[Payment Mode]]))</f>
        <v>UPI</v>
      </c>
    </row>
    <row r="263" spans="1:16" x14ac:dyDescent="0.35">
      <c r="A263" s="4" t="s">
        <v>336</v>
      </c>
      <c r="B263" s="6">
        <v>45847</v>
      </c>
      <c r="C263" t="s">
        <v>34</v>
      </c>
      <c r="D263" t="str">
        <f>TRIM(SalesData[[#This Row],[Customer Name]])</f>
        <v>Meera Desai</v>
      </c>
      <c r="E263" t="s">
        <v>28</v>
      </c>
      <c r="F263" t="s">
        <v>23</v>
      </c>
      <c r="G263" t="s">
        <v>77</v>
      </c>
      <c r="H263" t="s">
        <v>25</v>
      </c>
      <c r="I263" s="10">
        <v>2</v>
      </c>
      <c r="J263" s="12">
        <v>0.05</v>
      </c>
      <c r="K263" s="8">
        <v>7623.78</v>
      </c>
      <c r="L263">
        <v>14485.18</v>
      </c>
      <c r="M263" s="8">
        <v>6772.76</v>
      </c>
      <c r="N263" s="8">
        <v>7712.42</v>
      </c>
      <c r="O263" t="s">
        <v>48</v>
      </c>
      <c r="P263" t="str">
        <f>UPPER(TRIM(SalesData[[#This Row],[Payment Mode]]))</f>
        <v>CREDIT CARD</v>
      </c>
    </row>
    <row r="264" spans="1:16" x14ac:dyDescent="0.35">
      <c r="A264" s="4" t="s">
        <v>337</v>
      </c>
      <c r="B264" s="6">
        <v>45848</v>
      </c>
      <c r="C264" t="s">
        <v>59</v>
      </c>
      <c r="D264" t="str">
        <f>TRIM(SalesData[[#This Row],[Customer Name]])</f>
        <v>Rohan Deshmukh</v>
      </c>
      <c r="E264" t="s">
        <v>83</v>
      </c>
      <c r="F264" t="s">
        <v>23</v>
      </c>
      <c r="G264" t="s">
        <v>60</v>
      </c>
      <c r="H264" t="s">
        <v>36</v>
      </c>
      <c r="I264" s="10">
        <v>4</v>
      </c>
      <c r="J264" s="12">
        <v>0.05</v>
      </c>
      <c r="K264" s="8">
        <v>3474.13</v>
      </c>
      <c r="L264">
        <v>13201.69</v>
      </c>
      <c r="M264" s="8">
        <v>4622.76</v>
      </c>
      <c r="N264" s="8">
        <v>8578.93</v>
      </c>
      <c r="O264" t="s">
        <v>37</v>
      </c>
      <c r="P264" t="str">
        <f>UPPER(TRIM(SalesData[[#This Row],[Payment Mode]]))</f>
        <v>DEBIT CARD</v>
      </c>
    </row>
    <row r="265" spans="1:16" x14ac:dyDescent="0.35">
      <c r="A265" s="4" t="s">
        <v>338</v>
      </c>
      <c r="B265" s="6">
        <v>45848</v>
      </c>
      <c r="C265" t="s">
        <v>39</v>
      </c>
      <c r="D265" t="str">
        <f>TRIM(SalesData[[#This Row],[Customer Name]])</f>
        <v>Akash Wagh</v>
      </c>
      <c r="E265" t="s">
        <v>73</v>
      </c>
      <c r="F265" t="s">
        <v>74</v>
      </c>
      <c r="G265" t="s">
        <v>77</v>
      </c>
      <c r="H265" t="s">
        <v>25</v>
      </c>
      <c r="I265" s="10">
        <v>5</v>
      </c>
      <c r="J265" s="12">
        <v>0.1</v>
      </c>
      <c r="K265" s="8">
        <v>7683.16</v>
      </c>
      <c r="L265">
        <v>34574.22</v>
      </c>
      <c r="M265" s="8">
        <v>17816.8</v>
      </c>
      <c r="N265" s="8">
        <v>16757.419999999998</v>
      </c>
      <c r="O265" t="s">
        <v>43</v>
      </c>
      <c r="P265" t="str">
        <f>UPPER(TRIM(SalesData[[#This Row],[Payment Mode]]))</f>
        <v>UPI</v>
      </c>
    </row>
    <row r="266" spans="1:16" x14ac:dyDescent="0.35">
      <c r="A266" s="4" t="s">
        <v>339</v>
      </c>
      <c r="B266" s="6">
        <v>45849</v>
      </c>
      <c r="C266" t="s">
        <v>67</v>
      </c>
      <c r="D266" t="str">
        <f>TRIM(SalesData[[#This Row],[Customer Name]])</f>
        <v>Anjali Chavan</v>
      </c>
      <c r="E266" t="s">
        <v>40</v>
      </c>
      <c r="F266" t="s">
        <v>23</v>
      </c>
      <c r="G266" t="s">
        <v>77</v>
      </c>
      <c r="H266" t="s">
        <v>25</v>
      </c>
      <c r="I266" s="10">
        <v>3</v>
      </c>
      <c r="J266" s="12">
        <v>0.1</v>
      </c>
      <c r="K266" s="8">
        <v>7338.68</v>
      </c>
      <c r="L266">
        <v>19814.439999999999</v>
      </c>
      <c r="M266" s="8">
        <v>10461</v>
      </c>
      <c r="N266" s="8">
        <v>9353.44</v>
      </c>
      <c r="O266" t="s">
        <v>37</v>
      </c>
      <c r="P266" t="str">
        <f>UPPER(TRIM(SalesData[[#This Row],[Payment Mode]]))</f>
        <v>DEBIT CARD</v>
      </c>
    </row>
    <row r="267" spans="1:16" x14ac:dyDescent="0.35">
      <c r="A267" s="4" t="s">
        <v>340</v>
      </c>
      <c r="B267" s="6">
        <v>45849</v>
      </c>
      <c r="C267" t="s">
        <v>89</v>
      </c>
      <c r="D267" t="str">
        <f>TRIM(SalesData[[#This Row],[Customer Name]])</f>
        <v>Kunal Thakur</v>
      </c>
      <c r="E267" t="s">
        <v>16</v>
      </c>
      <c r="F267" t="s">
        <v>16</v>
      </c>
      <c r="G267" t="s">
        <v>60</v>
      </c>
      <c r="H267" t="s">
        <v>36</v>
      </c>
      <c r="I267" s="10">
        <v>3</v>
      </c>
      <c r="J267" s="12">
        <v>0</v>
      </c>
      <c r="K267" s="8">
        <v>3591.63</v>
      </c>
      <c r="L267">
        <v>10774.89</v>
      </c>
      <c r="M267" s="8">
        <v>3559.14</v>
      </c>
      <c r="N267" s="8">
        <v>7215.75</v>
      </c>
      <c r="O267" t="s">
        <v>48</v>
      </c>
      <c r="P267" t="str">
        <f>UPPER(TRIM(SalesData[[#This Row],[Payment Mode]]))</f>
        <v>CREDIT CARD</v>
      </c>
    </row>
    <row r="268" spans="1:16" x14ac:dyDescent="0.35">
      <c r="A268" s="4" t="s">
        <v>341</v>
      </c>
      <c r="B268" s="6">
        <v>45849</v>
      </c>
      <c r="C268" t="s">
        <v>39</v>
      </c>
      <c r="D268" t="str">
        <f>TRIM(SalesData[[#This Row],[Customer Name]])</f>
        <v>Akash Wagh</v>
      </c>
      <c r="E268" t="s">
        <v>73</v>
      </c>
      <c r="F268" t="s">
        <v>74</v>
      </c>
      <c r="G268" t="s">
        <v>60</v>
      </c>
      <c r="H268" t="s">
        <v>36</v>
      </c>
      <c r="I268" s="10">
        <v>5</v>
      </c>
      <c r="J268" s="12">
        <v>0.05</v>
      </c>
      <c r="K268" s="8">
        <v>3599.76</v>
      </c>
      <c r="L268">
        <v>17098.86</v>
      </c>
      <c r="M268" s="8">
        <v>6235.25</v>
      </c>
      <c r="N268" s="8">
        <v>10863.61</v>
      </c>
      <c r="O268" t="s">
        <v>43</v>
      </c>
      <c r="P268" t="str">
        <f>UPPER(TRIM(SalesData[[#This Row],[Payment Mode]]))</f>
        <v>UPI</v>
      </c>
    </row>
    <row r="269" spans="1:16" x14ac:dyDescent="0.35">
      <c r="A269" s="4" t="s">
        <v>342</v>
      </c>
      <c r="B269" s="6">
        <v>45850</v>
      </c>
      <c r="C269" t="s">
        <v>72</v>
      </c>
      <c r="D269" t="str">
        <f>TRIM(SalesData[[#This Row],[Customer Name]])</f>
        <v>Riya Shah</v>
      </c>
      <c r="E269" t="s">
        <v>28</v>
      </c>
      <c r="F269" t="s">
        <v>23</v>
      </c>
      <c r="G269" t="s">
        <v>60</v>
      </c>
      <c r="H269" t="s">
        <v>36</v>
      </c>
      <c r="I269" s="10">
        <v>2</v>
      </c>
      <c r="J269" s="12">
        <v>0.1</v>
      </c>
      <c r="K269" s="8">
        <v>3383.23</v>
      </c>
      <c r="L269">
        <v>6089.81</v>
      </c>
      <c r="M269" s="8">
        <v>2465.04</v>
      </c>
      <c r="N269" s="8">
        <v>3624.77</v>
      </c>
      <c r="O269" t="s">
        <v>48</v>
      </c>
      <c r="P269" t="str">
        <f>UPPER(TRIM(SalesData[[#This Row],[Payment Mode]]))</f>
        <v>CREDIT CARD</v>
      </c>
    </row>
    <row r="270" spans="1:16" x14ac:dyDescent="0.35">
      <c r="A270" s="4" t="s">
        <v>343</v>
      </c>
      <c r="B270" s="6">
        <v>45850</v>
      </c>
      <c r="C270" t="s">
        <v>39</v>
      </c>
      <c r="D270" t="str">
        <f>TRIM(SalesData[[#This Row],[Customer Name]])</f>
        <v>Akash Wagh</v>
      </c>
      <c r="E270" t="s">
        <v>40</v>
      </c>
      <c r="F270" t="s">
        <v>23</v>
      </c>
      <c r="G270" t="s">
        <v>107</v>
      </c>
      <c r="H270" t="s">
        <v>36</v>
      </c>
      <c r="I270" s="10">
        <v>2</v>
      </c>
      <c r="J270" s="12">
        <v>0.1</v>
      </c>
      <c r="K270" s="8">
        <v>1746.78</v>
      </c>
      <c r="L270">
        <v>3144.2</v>
      </c>
      <c r="M270" s="8">
        <v>1200.94</v>
      </c>
      <c r="N270" s="8">
        <v>1943.26</v>
      </c>
      <c r="O270" t="s">
        <v>43</v>
      </c>
      <c r="P270" t="str">
        <f>UPPER(TRIM(SalesData[[#This Row],[Payment Mode]]))</f>
        <v>UPI</v>
      </c>
    </row>
    <row r="271" spans="1:16" x14ac:dyDescent="0.35">
      <c r="A271" s="4" t="s">
        <v>344</v>
      </c>
      <c r="B271" s="6">
        <v>45851</v>
      </c>
      <c r="C271" t="s">
        <v>50</v>
      </c>
      <c r="D271" t="str">
        <f>TRIM(SalesData[[#This Row],[Customer Name]])</f>
        <v>Priya Patil</v>
      </c>
      <c r="E271" t="s">
        <v>46</v>
      </c>
      <c r="F271" t="s">
        <v>23</v>
      </c>
      <c r="G271" t="s">
        <v>24</v>
      </c>
      <c r="H271" t="s">
        <v>25</v>
      </c>
      <c r="I271" s="10">
        <v>4</v>
      </c>
      <c r="J271" s="12">
        <v>0</v>
      </c>
      <c r="K271" s="8">
        <v>8896.06</v>
      </c>
      <c r="L271">
        <v>35584.239999999998</v>
      </c>
      <c r="M271" s="8">
        <v>17977.8</v>
      </c>
      <c r="N271" s="8">
        <v>17606.439999999999</v>
      </c>
      <c r="O271" t="s">
        <v>37</v>
      </c>
      <c r="P271" t="str">
        <f>UPPER(TRIM(SalesData[[#This Row],[Payment Mode]]))</f>
        <v>DEBIT CARD</v>
      </c>
    </row>
    <row r="272" spans="1:16" x14ac:dyDescent="0.35">
      <c r="A272" s="4" t="s">
        <v>345</v>
      </c>
      <c r="B272" s="6">
        <v>45852</v>
      </c>
      <c r="C272" t="s">
        <v>50</v>
      </c>
      <c r="D272" t="str">
        <f>TRIM(SalesData[[#This Row],[Customer Name]])</f>
        <v>Priya Patil</v>
      </c>
      <c r="E272" t="s">
        <v>73</v>
      </c>
      <c r="F272" t="s">
        <v>74</v>
      </c>
      <c r="G272" t="s">
        <v>65</v>
      </c>
      <c r="H272" t="s">
        <v>18</v>
      </c>
      <c r="I272" s="10">
        <v>3</v>
      </c>
      <c r="J272" s="12">
        <v>0.1</v>
      </c>
      <c r="K272" s="8">
        <v>21484.32</v>
      </c>
      <c r="L272">
        <v>58007.66</v>
      </c>
      <c r="M272" s="8">
        <v>40443.96</v>
      </c>
      <c r="N272" s="8">
        <v>17563.7</v>
      </c>
      <c r="O272" t="s">
        <v>19</v>
      </c>
      <c r="P272" t="str">
        <f>UPPER(TRIM(SalesData[[#This Row],[Payment Mode]]))</f>
        <v>CASH</v>
      </c>
    </row>
    <row r="273" spans="1:16" x14ac:dyDescent="0.35">
      <c r="A273" s="4" t="s">
        <v>346</v>
      </c>
      <c r="B273" s="6">
        <v>45853</v>
      </c>
      <c r="C273" t="s">
        <v>72</v>
      </c>
      <c r="D273" t="str">
        <f>TRIM(SalesData[[#This Row],[Customer Name]])</f>
        <v>Riya Shah</v>
      </c>
      <c r="E273" t="s">
        <v>73</v>
      </c>
      <c r="F273" t="s">
        <v>74</v>
      </c>
      <c r="G273" t="s">
        <v>17</v>
      </c>
      <c r="H273" t="s">
        <v>18</v>
      </c>
      <c r="I273" s="10">
        <v>5</v>
      </c>
      <c r="J273" s="12">
        <v>0.1</v>
      </c>
      <c r="K273" s="8">
        <v>11427.93</v>
      </c>
      <c r="L273">
        <v>51425.69</v>
      </c>
      <c r="M273" s="8">
        <v>33522</v>
      </c>
      <c r="N273" s="8">
        <v>17903.689999999999</v>
      </c>
      <c r="O273" t="s">
        <v>26</v>
      </c>
      <c r="P273" t="str">
        <f>UPPER(TRIM(SalesData[[#This Row],[Payment Mode]]))</f>
        <v>NET BANKING</v>
      </c>
    </row>
    <row r="274" spans="1:16" x14ac:dyDescent="0.35">
      <c r="A274" s="4" t="s">
        <v>347</v>
      </c>
      <c r="B274" s="6">
        <v>45853</v>
      </c>
      <c r="C274" t="s">
        <v>72</v>
      </c>
      <c r="D274" t="str">
        <f>TRIM(SalesData[[#This Row],[Customer Name]])</f>
        <v>Riya Shah</v>
      </c>
      <c r="E274" t="s">
        <v>86</v>
      </c>
      <c r="F274" t="s">
        <v>87</v>
      </c>
      <c r="G274" t="s">
        <v>41</v>
      </c>
      <c r="H274" t="s">
        <v>42</v>
      </c>
      <c r="I274" s="10">
        <v>1</v>
      </c>
      <c r="J274" s="12">
        <v>0.05</v>
      </c>
      <c r="K274" s="8">
        <v>1858.55</v>
      </c>
      <c r="L274">
        <v>1765.62</v>
      </c>
      <c r="M274" s="8">
        <v>684.58</v>
      </c>
      <c r="N274" s="8">
        <v>1081.04</v>
      </c>
      <c r="O274" t="s">
        <v>37</v>
      </c>
      <c r="P274" t="str">
        <f>UPPER(TRIM(SalesData[[#This Row],[Payment Mode]]))</f>
        <v>DEBIT CARD</v>
      </c>
    </row>
    <row r="275" spans="1:16" x14ac:dyDescent="0.35">
      <c r="A275" s="4" t="s">
        <v>348</v>
      </c>
      <c r="B275" s="6">
        <v>45854</v>
      </c>
      <c r="C275" t="s">
        <v>50</v>
      </c>
      <c r="D275" t="str">
        <f>TRIM(SalesData[[#This Row],[Customer Name]])</f>
        <v>Priya Patil</v>
      </c>
      <c r="E275" t="s">
        <v>46</v>
      </c>
      <c r="F275" t="s">
        <v>23</v>
      </c>
      <c r="G275" t="s">
        <v>35</v>
      </c>
      <c r="H275" t="s">
        <v>36</v>
      </c>
      <c r="I275" s="10">
        <v>3</v>
      </c>
      <c r="J275" s="12">
        <v>0</v>
      </c>
      <c r="K275" s="8">
        <v>1150.07</v>
      </c>
      <c r="L275">
        <v>3450.21</v>
      </c>
      <c r="M275" s="8">
        <v>1032.51</v>
      </c>
      <c r="N275" s="8">
        <v>2417.6999999999998</v>
      </c>
      <c r="O275" t="s">
        <v>19</v>
      </c>
      <c r="P275" t="str">
        <f>UPPER(TRIM(SalesData[[#This Row],[Payment Mode]]))</f>
        <v>CASH</v>
      </c>
    </row>
    <row r="276" spans="1:16" x14ac:dyDescent="0.35">
      <c r="A276" s="4" t="s">
        <v>349</v>
      </c>
      <c r="B276" s="6">
        <v>45855</v>
      </c>
      <c r="C276" t="s">
        <v>56</v>
      </c>
      <c r="D276" t="str">
        <f>TRIM(SalesData[[#This Row],[Customer Name]])</f>
        <v>Pooja Shinde</v>
      </c>
      <c r="E276" t="s">
        <v>46</v>
      </c>
      <c r="F276" t="s">
        <v>23</v>
      </c>
      <c r="G276" t="s">
        <v>77</v>
      </c>
      <c r="H276" t="s">
        <v>25</v>
      </c>
      <c r="I276" s="10">
        <v>3</v>
      </c>
      <c r="J276" s="12">
        <v>0.05</v>
      </c>
      <c r="K276" s="8">
        <v>7729.92</v>
      </c>
      <c r="L276">
        <v>22030.27</v>
      </c>
      <c r="M276" s="8">
        <v>10666.71</v>
      </c>
      <c r="N276" s="8">
        <v>11363.56</v>
      </c>
      <c r="O276" t="s">
        <v>43</v>
      </c>
      <c r="P276" t="str">
        <f>UPPER(TRIM(SalesData[[#This Row],[Payment Mode]]))</f>
        <v>UPI</v>
      </c>
    </row>
    <row r="277" spans="1:16" x14ac:dyDescent="0.35">
      <c r="A277" s="4" t="s">
        <v>350</v>
      </c>
      <c r="B277" s="6">
        <v>45857</v>
      </c>
      <c r="C277" t="s">
        <v>56</v>
      </c>
      <c r="D277" t="str">
        <f>TRIM(SalesData[[#This Row],[Customer Name]])</f>
        <v>Pooja Shinde</v>
      </c>
      <c r="E277" t="s">
        <v>46</v>
      </c>
      <c r="F277" t="s">
        <v>23</v>
      </c>
      <c r="G277" t="s">
        <v>75</v>
      </c>
      <c r="H277" t="s">
        <v>18</v>
      </c>
      <c r="I277" s="10">
        <v>5</v>
      </c>
      <c r="J277" s="12">
        <v>0</v>
      </c>
      <c r="K277" s="8">
        <v>16645.11</v>
      </c>
      <c r="L277">
        <v>83225.55</v>
      </c>
      <c r="M277" s="8">
        <v>45467.35</v>
      </c>
      <c r="N277" s="8">
        <v>37758.199999999997</v>
      </c>
      <c r="O277" t="s">
        <v>43</v>
      </c>
      <c r="P277" t="str">
        <f>UPPER(TRIM(SalesData[[#This Row],[Payment Mode]]))</f>
        <v>UPI</v>
      </c>
    </row>
    <row r="278" spans="1:16" x14ac:dyDescent="0.35">
      <c r="A278" s="4" t="s">
        <v>351</v>
      </c>
      <c r="B278" s="6">
        <v>45858</v>
      </c>
      <c r="C278" t="s">
        <v>64</v>
      </c>
      <c r="D278" t="str">
        <f>TRIM(SalesData[[#This Row],[Customer Name]])</f>
        <v>Neha Jadhav</v>
      </c>
      <c r="E278" t="s">
        <v>28</v>
      </c>
      <c r="F278" t="s">
        <v>23</v>
      </c>
      <c r="G278" t="s">
        <v>60</v>
      </c>
      <c r="H278" t="s">
        <v>36</v>
      </c>
      <c r="I278" s="10">
        <v>2</v>
      </c>
      <c r="J278" s="12">
        <v>0.05</v>
      </c>
      <c r="K278" s="8">
        <v>3512.52</v>
      </c>
      <c r="L278">
        <v>6673.79</v>
      </c>
      <c r="M278" s="8">
        <v>2301.66</v>
      </c>
      <c r="N278" s="8">
        <v>4372.13</v>
      </c>
      <c r="O278" t="s">
        <v>26</v>
      </c>
      <c r="P278" t="str">
        <f>UPPER(TRIM(SalesData[[#This Row],[Payment Mode]]))</f>
        <v>NET BANKING</v>
      </c>
    </row>
    <row r="279" spans="1:16" x14ac:dyDescent="0.35">
      <c r="A279" s="4" t="s">
        <v>352</v>
      </c>
      <c r="B279" s="6">
        <v>45858</v>
      </c>
      <c r="C279" t="s">
        <v>95</v>
      </c>
      <c r="D279" t="str">
        <f>TRIM(SalesData[[#This Row],[Customer Name]])</f>
        <v>Rahul Pawar</v>
      </c>
      <c r="E279" t="s">
        <v>46</v>
      </c>
      <c r="F279" t="s">
        <v>23</v>
      </c>
      <c r="G279" t="s">
        <v>65</v>
      </c>
      <c r="H279" t="s">
        <v>18</v>
      </c>
      <c r="I279" s="10">
        <v>3</v>
      </c>
      <c r="J279" s="12">
        <v>0.05</v>
      </c>
      <c r="K279" s="8">
        <v>20922.29</v>
      </c>
      <c r="L279">
        <v>59628.53</v>
      </c>
      <c r="M279" s="8">
        <v>42571.59</v>
      </c>
      <c r="N279" s="8">
        <v>17056.939999999999</v>
      </c>
      <c r="O279" t="s">
        <v>19</v>
      </c>
      <c r="P279" t="str">
        <f>UPPER(TRIM(SalesData[[#This Row],[Payment Mode]]))</f>
        <v>CASH</v>
      </c>
    </row>
    <row r="280" spans="1:16" x14ac:dyDescent="0.35">
      <c r="A280" s="4" t="s">
        <v>353</v>
      </c>
      <c r="B280" s="6">
        <v>45859</v>
      </c>
      <c r="C280" t="s">
        <v>116</v>
      </c>
      <c r="D280" t="str">
        <f>TRIM(SalesData[[#This Row],[Customer Name]])</f>
        <v>Sneha Kulkarni</v>
      </c>
      <c r="E280" t="s">
        <v>22</v>
      </c>
      <c r="F280" t="s">
        <v>23</v>
      </c>
      <c r="G280" t="s">
        <v>65</v>
      </c>
      <c r="H280" t="s">
        <v>18</v>
      </c>
      <c r="I280" s="10">
        <v>2</v>
      </c>
      <c r="J280" s="12">
        <v>0.05</v>
      </c>
      <c r="K280" s="8">
        <v>20968.89</v>
      </c>
      <c r="L280">
        <v>39840.89</v>
      </c>
      <c r="M280" s="8">
        <v>28958.400000000001</v>
      </c>
      <c r="N280" s="8">
        <v>10882.49</v>
      </c>
      <c r="O280" t="s">
        <v>19</v>
      </c>
      <c r="P280" t="str">
        <f>UPPER(TRIM(SalesData[[#This Row],[Payment Mode]]))</f>
        <v>CASH</v>
      </c>
    </row>
    <row r="281" spans="1:16" x14ac:dyDescent="0.35">
      <c r="A281" s="4" t="s">
        <v>354</v>
      </c>
      <c r="B281" s="6">
        <v>45859</v>
      </c>
      <c r="C281" t="s">
        <v>72</v>
      </c>
      <c r="D281" t="str">
        <f>TRIM(SalesData[[#This Row],[Customer Name]])</f>
        <v>Riya Shah</v>
      </c>
      <c r="E281" t="s">
        <v>53</v>
      </c>
      <c r="F281" t="s">
        <v>54</v>
      </c>
      <c r="G281" t="s">
        <v>101</v>
      </c>
      <c r="H281" t="s">
        <v>18</v>
      </c>
      <c r="I281" s="10">
        <v>5</v>
      </c>
      <c r="J281" s="12">
        <v>0</v>
      </c>
      <c r="K281" s="8">
        <v>18417.52</v>
      </c>
      <c r="L281">
        <v>92087.6</v>
      </c>
      <c r="M281" s="8">
        <v>41404.699999999997</v>
      </c>
      <c r="N281" s="8">
        <v>50682.9</v>
      </c>
      <c r="O281" t="s">
        <v>37</v>
      </c>
      <c r="P281" t="str">
        <f>UPPER(TRIM(SalesData[[#This Row],[Payment Mode]]))</f>
        <v>DEBIT CARD</v>
      </c>
    </row>
    <row r="282" spans="1:16" x14ac:dyDescent="0.35">
      <c r="A282" s="4" t="s">
        <v>355</v>
      </c>
      <c r="B282" s="6">
        <v>45859</v>
      </c>
      <c r="C282" t="s">
        <v>72</v>
      </c>
      <c r="D282" t="str">
        <f>TRIM(SalesData[[#This Row],[Customer Name]])</f>
        <v>Riya Shah</v>
      </c>
      <c r="E282" t="s">
        <v>28</v>
      </c>
      <c r="F282" t="s">
        <v>23</v>
      </c>
      <c r="G282" t="s">
        <v>41</v>
      </c>
      <c r="H282" t="s">
        <v>42</v>
      </c>
      <c r="I282" s="10">
        <v>1</v>
      </c>
      <c r="J282" s="12">
        <v>0.1</v>
      </c>
      <c r="K282" s="8">
        <v>1730.14</v>
      </c>
      <c r="L282">
        <v>1557.13</v>
      </c>
      <c r="M282" s="8">
        <v>701.15</v>
      </c>
      <c r="N282" s="8">
        <v>855.98</v>
      </c>
      <c r="O282" t="s">
        <v>37</v>
      </c>
      <c r="P282" t="str">
        <f>UPPER(TRIM(SalesData[[#This Row],[Payment Mode]]))</f>
        <v>DEBIT CARD</v>
      </c>
    </row>
    <row r="283" spans="1:16" x14ac:dyDescent="0.35">
      <c r="A283" s="4" t="s">
        <v>356</v>
      </c>
      <c r="B283" s="6">
        <v>45863</v>
      </c>
      <c r="C283" t="s">
        <v>62</v>
      </c>
      <c r="D283" t="str">
        <f>TRIM(SalesData[[#This Row],[Customer Name]])</f>
        <v>Vivek More</v>
      </c>
      <c r="E283" t="s">
        <v>53</v>
      </c>
      <c r="F283" t="s">
        <v>54</v>
      </c>
      <c r="G283" t="s">
        <v>75</v>
      </c>
      <c r="H283" t="s">
        <v>18</v>
      </c>
      <c r="I283" s="10">
        <v>3</v>
      </c>
      <c r="J283" s="12">
        <v>0.1</v>
      </c>
      <c r="K283" s="8">
        <v>16318.9</v>
      </c>
      <c r="L283">
        <v>44061.03</v>
      </c>
      <c r="M283" s="8">
        <v>27916.53</v>
      </c>
      <c r="N283" s="8">
        <v>16144.5</v>
      </c>
      <c r="O283" t="s">
        <v>37</v>
      </c>
      <c r="P283" t="str">
        <f>UPPER(TRIM(SalesData[[#This Row],[Payment Mode]]))</f>
        <v>DEBIT CARD</v>
      </c>
    </row>
    <row r="284" spans="1:16" x14ac:dyDescent="0.35">
      <c r="A284" s="4" t="s">
        <v>357</v>
      </c>
      <c r="B284" s="6">
        <v>45863</v>
      </c>
      <c r="C284" t="s">
        <v>30</v>
      </c>
      <c r="D284" t="str">
        <f>TRIM(SalesData[[#This Row],[Customer Name]])</f>
        <v>Swati Kale</v>
      </c>
      <c r="E284" t="s">
        <v>16</v>
      </c>
      <c r="F284" t="s">
        <v>16</v>
      </c>
      <c r="G284" t="s">
        <v>24</v>
      </c>
      <c r="H284" t="s">
        <v>25</v>
      </c>
      <c r="I284" s="10">
        <v>2</v>
      </c>
      <c r="J284" s="12">
        <v>0</v>
      </c>
      <c r="K284" s="8">
        <v>8842.77</v>
      </c>
      <c r="L284">
        <v>17685.54</v>
      </c>
      <c r="M284" s="8">
        <v>9191.36</v>
      </c>
      <c r="N284" s="8">
        <v>8494.18</v>
      </c>
      <c r="O284" t="s">
        <v>37</v>
      </c>
      <c r="P284" t="str">
        <f>UPPER(TRIM(SalesData[[#This Row],[Payment Mode]]))</f>
        <v>DEBIT CARD</v>
      </c>
    </row>
    <row r="285" spans="1:16" x14ac:dyDescent="0.35">
      <c r="A285" s="4" t="s">
        <v>358</v>
      </c>
      <c r="B285" s="6">
        <v>45864</v>
      </c>
      <c r="C285" t="s">
        <v>21</v>
      </c>
      <c r="D285" t="str">
        <f>TRIM(SalesData[[#This Row],[Customer Name]])</f>
        <v>Aarav Sharma</v>
      </c>
      <c r="E285" t="s">
        <v>46</v>
      </c>
      <c r="F285" t="s">
        <v>23</v>
      </c>
      <c r="G285" t="s">
        <v>101</v>
      </c>
      <c r="H285" t="s">
        <v>18</v>
      </c>
      <c r="I285" s="10">
        <v>3</v>
      </c>
      <c r="J285" s="12">
        <v>0</v>
      </c>
      <c r="K285" s="8">
        <v>17825.87</v>
      </c>
      <c r="L285">
        <v>53477.61</v>
      </c>
      <c r="M285" s="8">
        <v>23329.35</v>
      </c>
      <c r="N285" s="8">
        <v>30148.26</v>
      </c>
      <c r="O285" t="s">
        <v>19</v>
      </c>
      <c r="P285" t="str">
        <f>UPPER(TRIM(SalesData[[#This Row],[Payment Mode]]))</f>
        <v>CASH</v>
      </c>
    </row>
    <row r="286" spans="1:16" x14ac:dyDescent="0.35">
      <c r="A286" s="4" t="s">
        <v>359</v>
      </c>
      <c r="B286" s="6">
        <v>45864</v>
      </c>
      <c r="C286" t="s">
        <v>30</v>
      </c>
      <c r="D286" t="str">
        <f>TRIM(SalesData[[#This Row],[Customer Name]])</f>
        <v>Swati Kale</v>
      </c>
      <c r="E286" t="s">
        <v>16</v>
      </c>
      <c r="F286" t="s">
        <v>16</v>
      </c>
      <c r="G286" t="s">
        <v>41</v>
      </c>
      <c r="H286" t="s">
        <v>42</v>
      </c>
      <c r="I286" s="10">
        <v>5</v>
      </c>
      <c r="J286" s="12">
        <v>0</v>
      </c>
      <c r="K286" s="8">
        <v>1786.47</v>
      </c>
      <c r="L286">
        <v>8932.35</v>
      </c>
      <c r="M286" s="8">
        <v>3642.75</v>
      </c>
      <c r="N286" s="8">
        <v>5289.6</v>
      </c>
      <c r="O286" t="s">
        <v>43</v>
      </c>
      <c r="P286" t="str">
        <f>UPPER(TRIM(SalesData[[#This Row],[Payment Mode]]))</f>
        <v>UPI</v>
      </c>
    </row>
    <row r="287" spans="1:16" x14ac:dyDescent="0.35">
      <c r="A287" s="4" t="s">
        <v>360</v>
      </c>
      <c r="B287" s="6">
        <v>45865</v>
      </c>
      <c r="C287" t="s">
        <v>39</v>
      </c>
      <c r="D287" t="str">
        <f>TRIM(SalesData[[#This Row],[Customer Name]])</f>
        <v>Akash Wagh</v>
      </c>
      <c r="E287" t="s">
        <v>105</v>
      </c>
      <c r="F287" t="s">
        <v>106</v>
      </c>
      <c r="G287" t="s">
        <v>41</v>
      </c>
      <c r="H287" t="s">
        <v>42</v>
      </c>
      <c r="I287" s="10">
        <v>2</v>
      </c>
      <c r="J287" s="12">
        <v>0</v>
      </c>
      <c r="K287" s="8">
        <v>1774.94</v>
      </c>
      <c r="L287">
        <v>3549.88</v>
      </c>
      <c r="M287" s="8">
        <v>1456.82</v>
      </c>
      <c r="N287" s="8">
        <v>2093.06</v>
      </c>
      <c r="O287" t="s">
        <v>48</v>
      </c>
      <c r="P287" t="str">
        <f>UPPER(TRIM(SalesData[[#This Row],[Payment Mode]]))</f>
        <v>CREDIT CARD</v>
      </c>
    </row>
    <row r="288" spans="1:16" x14ac:dyDescent="0.35">
      <c r="A288" s="4" t="s">
        <v>361</v>
      </c>
      <c r="B288" s="6">
        <v>45866</v>
      </c>
      <c r="C288" t="s">
        <v>85</v>
      </c>
      <c r="D288" t="str">
        <f>TRIM(SalesData[[#This Row],[Customer Name]])</f>
        <v>Amit Verma</v>
      </c>
      <c r="E288" t="s">
        <v>28</v>
      </c>
      <c r="F288" t="s">
        <v>23</v>
      </c>
      <c r="G288" t="s">
        <v>65</v>
      </c>
      <c r="H288" t="s">
        <v>18</v>
      </c>
      <c r="I288" s="10">
        <v>5</v>
      </c>
      <c r="J288" s="12">
        <v>0.05</v>
      </c>
      <c r="K288" s="8">
        <v>22032.85</v>
      </c>
      <c r="L288">
        <v>104656.04</v>
      </c>
      <c r="M288" s="8">
        <v>67629.55</v>
      </c>
      <c r="N288" s="8">
        <v>37026.49</v>
      </c>
      <c r="O288" t="s">
        <v>48</v>
      </c>
      <c r="P288" t="str">
        <f>UPPER(TRIM(SalesData[[#This Row],[Payment Mode]]))</f>
        <v>CREDIT CARD</v>
      </c>
    </row>
    <row r="289" spans="1:16" x14ac:dyDescent="0.35">
      <c r="A289" s="4" t="s">
        <v>362</v>
      </c>
      <c r="B289" s="6">
        <v>45866</v>
      </c>
      <c r="C289" t="s">
        <v>59</v>
      </c>
      <c r="D289" t="str">
        <f>TRIM(SalesData[[#This Row],[Customer Name]])</f>
        <v>Rohan Deshmukh</v>
      </c>
      <c r="E289" t="s">
        <v>83</v>
      </c>
      <c r="F289" t="s">
        <v>23</v>
      </c>
      <c r="G289" t="s">
        <v>17</v>
      </c>
      <c r="H289" t="s">
        <v>18</v>
      </c>
      <c r="I289" s="10">
        <v>5</v>
      </c>
      <c r="J289" s="12">
        <v>0.05</v>
      </c>
      <c r="K289" s="8">
        <v>11820.24</v>
      </c>
      <c r="L289">
        <v>56146.14</v>
      </c>
      <c r="M289" s="8">
        <v>33076.800000000003</v>
      </c>
      <c r="N289" s="8">
        <v>23069.34</v>
      </c>
      <c r="O289" t="s">
        <v>26</v>
      </c>
      <c r="P289" t="str">
        <f>UPPER(TRIM(SalesData[[#This Row],[Payment Mode]]))</f>
        <v>NET BANKING</v>
      </c>
    </row>
    <row r="290" spans="1:16" x14ac:dyDescent="0.35">
      <c r="A290" s="4" t="s">
        <v>363</v>
      </c>
      <c r="B290" s="6">
        <v>45866</v>
      </c>
      <c r="C290" t="s">
        <v>62</v>
      </c>
      <c r="D290" t="str">
        <f>TRIM(SalesData[[#This Row],[Customer Name]])</f>
        <v>Vivek More</v>
      </c>
      <c r="E290" t="s">
        <v>86</v>
      </c>
      <c r="F290" t="s">
        <v>87</v>
      </c>
      <c r="G290" t="s">
        <v>35</v>
      </c>
      <c r="H290" t="s">
        <v>36</v>
      </c>
      <c r="I290" s="10">
        <v>1</v>
      </c>
      <c r="J290" s="12">
        <v>0</v>
      </c>
      <c r="K290" s="8">
        <v>1258.52</v>
      </c>
      <c r="L290">
        <v>1258.52</v>
      </c>
      <c r="M290" s="8">
        <v>342.7</v>
      </c>
      <c r="N290" s="8">
        <v>915.82</v>
      </c>
      <c r="O290" t="s">
        <v>26</v>
      </c>
      <c r="P290" t="str">
        <f>UPPER(TRIM(SalesData[[#This Row],[Payment Mode]]))</f>
        <v>NET BANKING</v>
      </c>
    </row>
    <row r="291" spans="1:16" x14ac:dyDescent="0.35">
      <c r="A291" s="4" t="s">
        <v>364</v>
      </c>
      <c r="B291" s="6">
        <v>45867</v>
      </c>
      <c r="C291" t="s">
        <v>39</v>
      </c>
      <c r="D291" t="str">
        <f>TRIM(SalesData[[#This Row],[Customer Name]])</f>
        <v>Akash Wagh</v>
      </c>
      <c r="E291" t="s">
        <v>73</v>
      </c>
      <c r="F291" t="s">
        <v>74</v>
      </c>
      <c r="G291" t="s">
        <v>24</v>
      </c>
      <c r="H291" t="s">
        <v>25</v>
      </c>
      <c r="I291" s="10">
        <v>1</v>
      </c>
      <c r="J291" s="12">
        <v>0.05</v>
      </c>
      <c r="K291" s="8">
        <v>9120.69</v>
      </c>
      <c r="L291">
        <v>8664.66</v>
      </c>
      <c r="M291" s="8">
        <v>4306.92</v>
      </c>
      <c r="N291" s="8">
        <v>4357.74</v>
      </c>
      <c r="O291" t="s">
        <v>26</v>
      </c>
      <c r="P291" t="str">
        <f>UPPER(TRIM(SalesData[[#This Row],[Payment Mode]]))</f>
        <v>NET BANKING</v>
      </c>
    </row>
    <row r="292" spans="1:16" x14ac:dyDescent="0.35">
      <c r="A292" s="4" t="s">
        <v>365</v>
      </c>
      <c r="B292" s="6">
        <v>45867</v>
      </c>
      <c r="C292" t="s">
        <v>30</v>
      </c>
      <c r="D292" t="str">
        <f>TRIM(SalesData[[#This Row],[Customer Name]])</f>
        <v>Swati Kale</v>
      </c>
      <c r="E292" t="s">
        <v>28</v>
      </c>
      <c r="F292" t="s">
        <v>23</v>
      </c>
      <c r="G292" t="s">
        <v>17</v>
      </c>
      <c r="H292" t="s">
        <v>18</v>
      </c>
      <c r="I292" s="10">
        <v>4</v>
      </c>
      <c r="J292" s="12">
        <v>0</v>
      </c>
      <c r="K292" s="8">
        <v>11494.73</v>
      </c>
      <c r="L292">
        <v>45978.92</v>
      </c>
      <c r="M292" s="8">
        <v>25851.279999999999</v>
      </c>
      <c r="N292" s="8">
        <v>20127.64</v>
      </c>
      <c r="O292" t="s">
        <v>43</v>
      </c>
      <c r="P292" t="str">
        <f>UPPER(TRIM(SalesData[[#This Row],[Payment Mode]]))</f>
        <v>UPI</v>
      </c>
    </row>
    <row r="293" spans="1:16" x14ac:dyDescent="0.35">
      <c r="A293" s="4" t="s">
        <v>366</v>
      </c>
      <c r="B293" s="6">
        <v>45868</v>
      </c>
      <c r="C293" t="s">
        <v>39</v>
      </c>
      <c r="D293" t="str">
        <f>TRIM(SalesData[[#This Row],[Customer Name]])</f>
        <v>Akash Wagh</v>
      </c>
      <c r="E293" t="s">
        <v>53</v>
      </c>
      <c r="F293" t="s">
        <v>54</v>
      </c>
      <c r="G293" t="s">
        <v>35</v>
      </c>
      <c r="H293" t="s">
        <v>36</v>
      </c>
      <c r="I293" s="10">
        <v>4</v>
      </c>
      <c r="J293" s="12">
        <v>0.05</v>
      </c>
      <c r="K293" s="8">
        <v>1162.1400000000001</v>
      </c>
      <c r="L293">
        <v>4416.13</v>
      </c>
      <c r="M293" s="8">
        <v>1371.96</v>
      </c>
      <c r="N293" s="8">
        <v>3044.17</v>
      </c>
      <c r="O293" t="s">
        <v>26</v>
      </c>
      <c r="P293" t="str">
        <f>UPPER(TRIM(SalesData[[#This Row],[Payment Mode]]))</f>
        <v>NET BANKING</v>
      </c>
    </row>
    <row r="294" spans="1:16" x14ac:dyDescent="0.35">
      <c r="A294" s="4" t="s">
        <v>367</v>
      </c>
      <c r="B294" s="6">
        <v>45868</v>
      </c>
      <c r="C294" t="s">
        <v>93</v>
      </c>
      <c r="D294" t="str">
        <f>TRIM(SalesData[[#This Row],[Customer Name]])</f>
        <v>Aditya Joshi</v>
      </c>
      <c r="E294" t="s">
        <v>105</v>
      </c>
      <c r="F294" t="s">
        <v>106</v>
      </c>
      <c r="G294" t="s">
        <v>41</v>
      </c>
      <c r="H294" t="s">
        <v>42</v>
      </c>
      <c r="I294" s="10">
        <v>4</v>
      </c>
      <c r="J294" s="12">
        <v>0</v>
      </c>
      <c r="K294" s="8">
        <v>1736.8</v>
      </c>
      <c r="L294">
        <v>6947.2</v>
      </c>
      <c r="M294" s="8">
        <v>2745.56</v>
      </c>
      <c r="N294" s="8">
        <v>4201.6400000000003</v>
      </c>
      <c r="O294" t="s">
        <v>48</v>
      </c>
      <c r="P294" t="str">
        <f>UPPER(TRIM(SalesData[[#This Row],[Payment Mode]]))</f>
        <v>CREDIT CARD</v>
      </c>
    </row>
    <row r="295" spans="1:16" x14ac:dyDescent="0.35">
      <c r="A295" s="4" t="s">
        <v>368</v>
      </c>
      <c r="B295" s="6">
        <v>45868</v>
      </c>
      <c r="C295" t="s">
        <v>93</v>
      </c>
      <c r="D295" t="str">
        <f>TRIM(SalesData[[#This Row],[Customer Name]])</f>
        <v>Aditya Joshi</v>
      </c>
      <c r="E295" t="s">
        <v>22</v>
      </c>
      <c r="F295" t="s">
        <v>23</v>
      </c>
      <c r="G295" t="s">
        <v>77</v>
      </c>
      <c r="H295" t="s">
        <v>25</v>
      </c>
      <c r="I295" s="10">
        <v>5</v>
      </c>
      <c r="J295" s="12">
        <v>0.1</v>
      </c>
      <c r="K295" s="8">
        <v>7619.03</v>
      </c>
      <c r="L295">
        <v>34285.64</v>
      </c>
      <c r="M295" s="8">
        <v>17496.849999999999</v>
      </c>
      <c r="N295" s="8">
        <v>16788.79</v>
      </c>
      <c r="O295" t="s">
        <v>43</v>
      </c>
      <c r="P295" t="str">
        <f>UPPER(TRIM(SalesData[[#This Row],[Payment Mode]]))</f>
        <v>UPI</v>
      </c>
    </row>
    <row r="296" spans="1:16" x14ac:dyDescent="0.35">
      <c r="A296" s="4" t="s">
        <v>369</v>
      </c>
      <c r="B296" s="6">
        <v>45870</v>
      </c>
      <c r="C296" t="s">
        <v>93</v>
      </c>
      <c r="D296" t="str">
        <f>TRIM(SalesData[[#This Row],[Customer Name]])</f>
        <v>Aditya Joshi</v>
      </c>
      <c r="E296" t="s">
        <v>31</v>
      </c>
      <c r="F296" t="s">
        <v>23</v>
      </c>
      <c r="G296" t="s">
        <v>32</v>
      </c>
      <c r="H296" t="s">
        <v>18</v>
      </c>
      <c r="I296" s="10">
        <v>4</v>
      </c>
      <c r="J296" s="12">
        <v>0.1</v>
      </c>
      <c r="K296" s="8">
        <v>50126.82</v>
      </c>
      <c r="L296">
        <v>180456.55</v>
      </c>
      <c r="M296" s="8">
        <v>172960.48</v>
      </c>
      <c r="N296" s="8">
        <v>7496.07</v>
      </c>
      <c r="O296" t="s">
        <v>26</v>
      </c>
      <c r="P296" t="str">
        <f>UPPER(TRIM(SalesData[[#This Row],[Payment Mode]]))</f>
        <v>NET BANKING</v>
      </c>
    </row>
    <row r="297" spans="1:16" x14ac:dyDescent="0.35">
      <c r="A297" s="4" t="s">
        <v>370</v>
      </c>
      <c r="B297" s="6">
        <v>45871</v>
      </c>
      <c r="C297" t="s">
        <v>39</v>
      </c>
      <c r="D297" t="str">
        <f>TRIM(SalesData[[#This Row],[Customer Name]])</f>
        <v>Akash Wagh</v>
      </c>
      <c r="E297" t="s">
        <v>83</v>
      </c>
      <c r="F297" t="s">
        <v>23</v>
      </c>
      <c r="G297" t="s">
        <v>77</v>
      </c>
      <c r="H297" t="s">
        <v>25</v>
      </c>
      <c r="I297" s="10">
        <v>4</v>
      </c>
      <c r="J297" s="12">
        <v>0.1</v>
      </c>
      <c r="K297" s="8">
        <v>7835.37</v>
      </c>
      <c r="L297">
        <v>28207.33</v>
      </c>
      <c r="M297" s="8">
        <v>14538.8</v>
      </c>
      <c r="N297" s="8">
        <v>13668.53</v>
      </c>
      <c r="O297" t="s">
        <v>37</v>
      </c>
      <c r="P297" t="str">
        <f>UPPER(TRIM(SalesData[[#This Row],[Payment Mode]]))</f>
        <v>DEBIT CARD</v>
      </c>
    </row>
    <row r="298" spans="1:16" x14ac:dyDescent="0.35">
      <c r="A298" s="4" t="s">
        <v>371</v>
      </c>
      <c r="B298" s="6">
        <v>45871</v>
      </c>
      <c r="C298" t="s">
        <v>85</v>
      </c>
      <c r="D298" t="str">
        <f>TRIM(SalesData[[#This Row],[Customer Name]])</f>
        <v>Amit Verma</v>
      </c>
      <c r="E298" t="s">
        <v>73</v>
      </c>
      <c r="F298" t="s">
        <v>74</v>
      </c>
      <c r="G298" t="s">
        <v>47</v>
      </c>
      <c r="H298" t="s">
        <v>25</v>
      </c>
      <c r="I298" s="10">
        <v>2</v>
      </c>
      <c r="J298" s="12">
        <v>0</v>
      </c>
      <c r="K298" s="8">
        <v>5746.39</v>
      </c>
      <c r="L298">
        <v>11492.78</v>
      </c>
      <c r="M298" s="8">
        <v>4802.12</v>
      </c>
      <c r="N298" s="8">
        <v>6690.66</v>
      </c>
      <c r="O298" t="s">
        <v>43</v>
      </c>
      <c r="P298" t="str">
        <f>UPPER(TRIM(SalesData[[#This Row],[Payment Mode]]))</f>
        <v>UPI</v>
      </c>
    </row>
    <row r="299" spans="1:16" x14ac:dyDescent="0.35">
      <c r="A299" s="4" t="s">
        <v>372</v>
      </c>
      <c r="B299" s="6">
        <v>45872</v>
      </c>
      <c r="C299" t="s">
        <v>59</v>
      </c>
      <c r="D299" t="str">
        <f>TRIM(SalesData[[#This Row],[Customer Name]])</f>
        <v>Rohan Deshmukh</v>
      </c>
      <c r="E299" t="s">
        <v>46</v>
      </c>
      <c r="F299" t="s">
        <v>23</v>
      </c>
      <c r="G299" t="s">
        <v>75</v>
      </c>
      <c r="H299" t="s">
        <v>18</v>
      </c>
      <c r="I299" s="10">
        <v>4</v>
      </c>
      <c r="J299" s="12">
        <v>0.05</v>
      </c>
      <c r="K299" s="8">
        <v>15471.81</v>
      </c>
      <c r="L299">
        <v>58792.88</v>
      </c>
      <c r="M299" s="8">
        <v>34901.919999999998</v>
      </c>
      <c r="N299" s="8">
        <v>23890.959999999999</v>
      </c>
      <c r="O299" t="s">
        <v>26</v>
      </c>
      <c r="P299" t="str">
        <f>UPPER(TRIM(SalesData[[#This Row],[Payment Mode]]))</f>
        <v>NET BANKING</v>
      </c>
    </row>
    <row r="300" spans="1:16" x14ac:dyDescent="0.35">
      <c r="A300" s="4" t="s">
        <v>373</v>
      </c>
      <c r="B300" s="6">
        <v>45872</v>
      </c>
      <c r="C300" t="s">
        <v>93</v>
      </c>
      <c r="D300" t="str">
        <f>TRIM(SalesData[[#This Row],[Customer Name]])</f>
        <v>Aditya Joshi</v>
      </c>
      <c r="E300" t="s">
        <v>22</v>
      </c>
      <c r="F300" t="s">
        <v>23</v>
      </c>
      <c r="G300" t="s">
        <v>35</v>
      </c>
      <c r="H300" t="s">
        <v>36</v>
      </c>
      <c r="I300" s="10">
        <v>3</v>
      </c>
      <c r="J300" s="12">
        <v>0</v>
      </c>
      <c r="K300" s="8">
        <v>1155.8699999999999</v>
      </c>
      <c r="L300">
        <v>3467.61</v>
      </c>
      <c r="M300" s="8">
        <v>1092.06</v>
      </c>
      <c r="N300" s="8">
        <v>2375.5500000000002</v>
      </c>
      <c r="O300" t="s">
        <v>37</v>
      </c>
      <c r="P300" t="str">
        <f>UPPER(TRIM(SalesData[[#This Row],[Payment Mode]]))</f>
        <v>DEBIT CARD</v>
      </c>
    </row>
    <row r="301" spans="1:16" x14ac:dyDescent="0.35">
      <c r="A301" s="4" t="s">
        <v>374</v>
      </c>
      <c r="B301" s="6">
        <v>45872</v>
      </c>
      <c r="C301" t="s">
        <v>30</v>
      </c>
      <c r="D301" t="str">
        <f>TRIM(SalesData[[#This Row],[Customer Name]])</f>
        <v>Swati Kale</v>
      </c>
      <c r="E301" t="s">
        <v>46</v>
      </c>
      <c r="F301" t="s">
        <v>23</v>
      </c>
      <c r="G301" t="s">
        <v>101</v>
      </c>
      <c r="H301" t="s">
        <v>18</v>
      </c>
      <c r="I301" s="10">
        <v>4</v>
      </c>
      <c r="J301" s="12">
        <v>0</v>
      </c>
      <c r="K301" s="8">
        <v>17858.599999999999</v>
      </c>
      <c r="L301">
        <v>71434.399999999994</v>
      </c>
      <c r="M301" s="8">
        <v>30486.959999999999</v>
      </c>
      <c r="N301" s="8">
        <v>40947.440000000002</v>
      </c>
      <c r="O301" t="s">
        <v>43</v>
      </c>
      <c r="P301" t="str">
        <f>UPPER(TRIM(SalesData[[#This Row],[Payment Mode]]))</f>
        <v>UPI</v>
      </c>
    </row>
    <row r="302" spans="1:16" x14ac:dyDescent="0.35">
      <c r="A302" s="4" t="s">
        <v>375</v>
      </c>
      <c r="B302" s="6">
        <v>45874</v>
      </c>
      <c r="C302" t="s">
        <v>72</v>
      </c>
      <c r="D302" t="str">
        <f>TRIM(SalesData[[#This Row],[Customer Name]])</f>
        <v>Riya Shah</v>
      </c>
      <c r="E302" t="s">
        <v>22</v>
      </c>
      <c r="F302" t="s">
        <v>23</v>
      </c>
      <c r="G302" t="s">
        <v>17</v>
      </c>
      <c r="H302" t="s">
        <v>18</v>
      </c>
      <c r="I302" s="10">
        <v>4</v>
      </c>
      <c r="J302" s="12">
        <v>0.15</v>
      </c>
      <c r="K302" s="8">
        <v>12558.14</v>
      </c>
      <c r="L302">
        <v>42697.68</v>
      </c>
      <c r="M302" s="8">
        <v>24712.84</v>
      </c>
      <c r="N302" s="8">
        <v>17984.84</v>
      </c>
      <c r="O302" t="s">
        <v>26</v>
      </c>
      <c r="P302" t="str">
        <f>UPPER(TRIM(SalesData[[#This Row],[Payment Mode]]))</f>
        <v>NET BANKING</v>
      </c>
    </row>
    <row r="303" spans="1:16" x14ac:dyDescent="0.35">
      <c r="A303" s="4" t="s">
        <v>376</v>
      </c>
      <c r="B303" s="6">
        <v>45874</v>
      </c>
      <c r="C303" t="s">
        <v>80</v>
      </c>
      <c r="D303" t="str">
        <f>TRIM(SalesData[[#This Row],[Customer Name]])</f>
        <v>Sagar Mane</v>
      </c>
      <c r="E303" t="s">
        <v>86</v>
      </c>
      <c r="F303" t="s">
        <v>87</v>
      </c>
      <c r="G303" t="s">
        <v>41</v>
      </c>
      <c r="H303" t="s">
        <v>42</v>
      </c>
      <c r="I303" s="10">
        <v>5</v>
      </c>
      <c r="J303" s="12">
        <v>0</v>
      </c>
      <c r="K303" s="8">
        <v>1758.84</v>
      </c>
      <c r="L303">
        <v>8794.2000000000007</v>
      </c>
      <c r="M303" s="8">
        <v>3615.05</v>
      </c>
      <c r="N303" s="8">
        <v>5179.1499999999996</v>
      </c>
      <c r="O303" t="s">
        <v>43</v>
      </c>
      <c r="P303" t="str">
        <f>UPPER(TRIM(SalesData[[#This Row],[Payment Mode]]))</f>
        <v>UPI</v>
      </c>
    </row>
    <row r="304" spans="1:16" x14ac:dyDescent="0.35">
      <c r="A304" s="4" t="s">
        <v>377</v>
      </c>
      <c r="B304" s="6">
        <v>45874</v>
      </c>
      <c r="C304" t="s">
        <v>85</v>
      </c>
      <c r="D304" t="str">
        <f>TRIM(SalesData[[#This Row],[Customer Name]])</f>
        <v>Amit Verma</v>
      </c>
      <c r="E304" t="s">
        <v>28</v>
      </c>
      <c r="F304" t="s">
        <v>23</v>
      </c>
      <c r="G304" t="s">
        <v>41</v>
      </c>
      <c r="H304" t="s">
        <v>42</v>
      </c>
      <c r="I304" s="10">
        <v>2</v>
      </c>
      <c r="J304" s="12">
        <v>0.05</v>
      </c>
      <c r="K304" s="8">
        <v>1771.99</v>
      </c>
      <c r="L304">
        <v>3366.78</v>
      </c>
      <c r="M304" s="8">
        <v>1379.22</v>
      </c>
      <c r="N304" s="8">
        <v>1987.56</v>
      </c>
      <c r="O304" t="s">
        <v>48</v>
      </c>
      <c r="P304" t="str">
        <f>UPPER(TRIM(SalesData[[#This Row],[Payment Mode]]))</f>
        <v>CREDIT CARD</v>
      </c>
    </row>
    <row r="305" spans="1:16" x14ac:dyDescent="0.35">
      <c r="A305" s="4" t="s">
        <v>378</v>
      </c>
      <c r="B305" s="6">
        <v>45875</v>
      </c>
      <c r="C305" t="s">
        <v>116</v>
      </c>
      <c r="D305" t="str">
        <f>TRIM(SalesData[[#This Row],[Customer Name]])</f>
        <v>Sneha Kulkarni</v>
      </c>
      <c r="E305" t="s">
        <v>53</v>
      </c>
      <c r="F305" t="s">
        <v>54</v>
      </c>
      <c r="G305" t="s">
        <v>41</v>
      </c>
      <c r="H305" t="s">
        <v>42</v>
      </c>
      <c r="I305" s="10">
        <v>5</v>
      </c>
      <c r="J305" s="12">
        <v>0</v>
      </c>
      <c r="K305" s="8">
        <v>1797.13</v>
      </c>
      <c r="L305">
        <v>8985.65</v>
      </c>
      <c r="M305" s="8">
        <v>3586.6</v>
      </c>
      <c r="N305" s="8">
        <v>5399.05</v>
      </c>
      <c r="O305" t="s">
        <v>48</v>
      </c>
      <c r="P305" t="str">
        <f>UPPER(TRIM(SalesData[[#This Row],[Payment Mode]]))</f>
        <v>CREDIT CARD</v>
      </c>
    </row>
    <row r="306" spans="1:16" x14ac:dyDescent="0.35">
      <c r="A306" s="4" t="s">
        <v>379</v>
      </c>
      <c r="B306" s="6">
        <v>45876</v>
      </c>
      <c r="C306" t="s">
        <v>39</v>
      </c>
      <c r="D306" t="str">
        <f>TRIM(SalesData[[#This Row],[Customer Name]])</f>
        <v>Akash Wagh</v>
      </c>
      <c r="E306" t="s">
        <v>73</v>
      </c>
      <c r="F306" t="s">
        <v>74</v>
      </c>
      <c r="G306" t="s">
        <v>107</v>
      </c>
      <c r="H306" t="s">
        <v>36</v>
      </c>
      <c r="I306" s="10">
        <v>4</v>
      </c>
      <c r="J306" s="12">
        <v>0</v>
      </c>
      <c r="K306" s="8">
        <v>1842.82</v>
      </c>
      <c r="L306">
        <v>7371.28</v>
      </c>
      <c r="M306" s="8">
        <v>2449.08</v>
      </c>
      <c r="N306" s="8">
        <v>4922.2</v>
      </c>
      <c r="O306" t="s">
        <v>19</v>
      </c>
      <c r="P306" t="str">
        <f>UPPER(TRIM(SalesData[[#This Row],[Payment Mode]]))</f>
        <v>CASH</v>
      </c>
    </row>
    <row r="307" spans="1:16" x14ac:dyDescent="0.35">
      <c r="A307" s="4" t="s">
        <v>380</v>
      </c>
      <c r="B307" s="6">
        <v>45877</v>
      </c>
      <c r="C307" t="s">
        <v>168</v>
      </c>
      <c r="D307" t="str">
        <f>TRIM(SalesData[[#This Row],[Customer Name]])</f>
        <v>Kavita Singh</v>
      </c>
      <c r="E307" t="s">
        <v>83</v>
      </c>
      <c r="F307" t="s">
        <v>23</v>
      </c>
      <c r="G307" t="s">
        <v>32</v>
      </c>
      <c r="H307" t="s">
        <v>18</v>
      </c>
      <c r="I307" s="10">
        <v>5</v>
      </c>
      <c r="J307" s="12">
        <v>0.05</v>
      </c>
      <c r="K307" s="8">
        <v>53262.07</v>
      </c>
      <c r="L307">
        <v>252994.83</v>
      </c>
      <c r="M307" s="8">
        <v>208435.35</v>
      </c>
      <c r="N307" s="8">
        <v>44559.48</v>
      </c>
      <c r="O307" t="s">
        <v>19</v>
      </c>
      <c r="P307" t="str">
        <f>UPPER(TRIM(SalesData[[#This Row],[Payment Mode]]))</f>
        <v>CASH</v>
      </c>
    </row>
    <row r="308" spans="1:16" x14ac:dyDescent="0.35">
      <c r="A308" s="4" t="s">
        <v>381</v>
      </c>
      <c r="B308" s="6">
        <v>45877</v>
      </c>
      <c r="C308" t="s">
        <v>30</v>
      </c>
      <c r="D308" t="str">
        <f>TRIM(SalesData[[#This Row],[Customer Name]])</f>
        <v>Swati Kale</v>
      </c>
      <c r="E308" t="s">
        <v>83</v>
      </c>
      <c r="F308" t="s">
        <v>23</v>
      </c>
      <c r="G308" t="s">
        <v>60</v>
      </c>
      <c r="H308" t="s">
        <v>36</v>
      </c>
      <c r="I308" s="10">
        <v>3</v>
      </c>
      <c r="J308" s="12">
        <v>0.05</v>
      </c>
      <c r="K308" s="8">
        <v>3512.63</v>
      </c>
      <c r="L308">
        <v>10011</v>
      </c>
      <c r="M308" s="8">
        <v>3531.42</v>
      </c>
      <c r="N308" s="8">
        <v>6479.58</v>
      </c>
      <c r="O308" t="s">
        <v>26</v>
      </c>
      <c r="P308" t="str">
        <f>UPPER(TRIM(SalesData[[#This Row],[Payment Mode]]))</f>
        <v>NET BANKING</v>
      </c>
    </row>
    <row r="309" spans="1:16" x14ac:dyDescent="0.35">
      <c r="A309" s="4" t="s">
        <v>382</v>
      </c>
      <c r="B309" s="6">
        <v>45877</v>
      </c>
      <c r="C309" t="s">
        <v>15</v>
      </c>
      <c r="D309" t="str">
        <f>TRIM(SalesData[[#This Row],[Customer Name]])</f>
        <v>Isha Bhosale</v>
      </c>
      <c r="E309" t="s">
        <v>22</v>
      </c>
      <c r="F309" t="s">
        <v>23</v>
      </c>
      <c r="G309" t="s">
        <v>47</v>
      </c>
      <c r="H309" t="s">
        <v>25</v>
      </c>
      <c r="I309" s="10">
        <v>3</v>
      </c>
      <c r="J309" s="12">
        <v>0</v>
      </c>
      <c r="K309" s="8">
        <v>5898.15</v>
      </c>
      <c r="L309">
        <v>17694.45</v>
      </c>
      <c r="M309" s="8">
        <v>7450.83</v>
      </c>
      <c r="N309" s="8">
        <v>10243.620000000001</v>
      </c>
      <c r="O309" t="s">
        <v>19</v>
      </c>
      <c r="P309" t="str">
        <f>UPPER(TRIM(SalesData[[#This Row],[Payment Mode]]))</f>
        <v>CASH</v>
      </c>
    </row>
    <row r="310" spans="1:16" x14ac:dyDescent="0.35">
      <c r="A310" s="4" t="s">
        <v>383</v>
      </c>
      <c r="B310" s="6">
        <v>45877</v>
      </c>
      <c r="C310" t="s">
        <v>21</v>
      </c>
      <c r="D310" t="str">
        <f>TRIM(SalesData[[#This Row],[Customer Name]])</f>
        <v>Aarav Sharma</v>
      </c>
      <c r="E310" t="s">
        <v>46</v>
      </c>
      <c r="F310" t="s">
        <v>23</v>
      </c>
      <c r="G310" t="s">
        <v>65</v>
      </c>
      <c r="H310" t="s">
        <v>18</v>
      </c>
      <c r="I310" s="10">
        <v>3</v>
      </c>
      <c r="J310" s="12">
        <v>0</v>
      </c>
      <c r="K310" s="8">
        <v>22873.81</v>
      </c>
      <c r="L310">
        <v>68621.429999999993</v>
      </c>
      <c r="M310" s="8">
        <v>40609.199999999997</v>
      </c>
      <c r="N310" s="8">
        <v>28012.23</v>
      </c>
      <c r="O310" t="s">
        <v>26</v>
      </c>
      <c r="P310" t="str">
        <f>UPPER(TRIM(SalesData[[#This Row],[Payment Mode]]))</f>
        <v>NET BANKING</v>
      </c>
    </row>
    <row r="311" spans="1:16" x14ac:dyDescent="0.35">
      <c r="A311" s="4" t="s">
        <v>384</v>
      </c>
      <c r="B311" s="6">
        <v>45877</v>
      </c>
      <c r="C311" t="s">
        <v>59</v>
      </c>
      <c r="D311" t="str">
        <f>TRIM(SalesData[[#This Row],[Customer Name]])</f>
        <v>Rohan Deshmukh</v>
      </c>
      <c r="E311" t="s">
        <v>105</v>
      </c>
      <c r="F311" t="s">
        <v>106</v>
      </c>
      <c r="G311" t="s">
        <v>24</v>
      </c>
      <c r="H311" t="s">
        <v>25</v>
      </c>
      <c r="I311" s="10">
        <v>1</v>
      </c>
      <c r="J311" s="12">
        <v>0.05</v>
      </c>
      <c r="K311" s="8">
        <v>8801.4699999999993</v>
      </c>
      <c r="L311">
        <v>8361.4</v>
      </c>
      <c r="M311" s="8">
        <v>4334.24</v>
      </c>
      <c r="N311" s="8">
        <v>4027.16</v>
      </c>
      <c r="O311" t="s">
        <v>19</v>
      </c>
      <c r="P311" t="str">
        <f>UPPER(TRIM(SalesData[[#This Row],[Payment Mode]]))</f>
        <v>CASH</v>
      </c>
    </row>
    <row r="312" spans="1:16" x14ac:dyDescent="0.35">
      <c r="A312" s="4" t="s">
        <v>385</v>
      </c>
      <c r="B312" s="6">
        <v>45878</v>
      </c>
      <c r="C312" t="s">
        <v>116</v>
      </c>
      <c r="D312" t="str">
        <f>TRIM(SalesData[[#This Row],[Customer Name]])</f>
        <v>Sneha Kulkarni</v>
      </c>
      <c r="E312" t="s">
        <v>73</v>
      </c>
      <c r="F312" t="s">
        <v>74</v>
      </c>
      <c r="G312" t="s">
        <v>41</v>
      </c>
      <c r="H312" t="s">
        <v>42</v>
      </c>
      <c r="I312" s="10">
        <v>5</v>
      </c>
      <c r="J312" s="12">
        <v>0</v>
      </c>
      <c r="K312" s="8">
        <v>1741.54</v>
      </c>
      <c r="L312">
        <v>8707.7000000000007</v>
      </c>
      <c r="M312" s="8">
        <v>3628.35</v>
      </c>
      <c r="N312" s="8">
        <v>5079.3500000000004</v>
      </c>
      <c r="O312" t="s">
        <v>26</v>
      </c>
      <c r="P312" t="str">
        <f>UPPER(TRIM(SalesData[[#This Row],[Payment Mode]]))</f>
        <v>NET BANKING</v>
      </c>
    </row>
    <row r="313" spans="1:16" x14ac:dyDescent="0.35">
      <c r="A313" s="4" t="s">
        <v>386</v>
      </c>
      <c r="B313" s="6">
        <v>45881</v>
      </c>
      <c r="C313" t="s">
        <v>80</v>
      </c>
      <c r="D313" t="str">
        <f>TRIM(SalesData[[#This Row],[Customer Name]])</f>
        <v>Sagar Mane</v>
      </c>
      <c r="E313" t="s">
        <v>53</v>
      </c>
      <c r="F313" t="s">
        <v>54</v>
      </c>
      <c r="G313" t="s">
        <v>101</v>
      </c>
      <c r="H313" t="s">
        <v>18</v>
      </c>
      <c r="I313" s="10">
        <v>5</v>
      </c>
      <c r="J313" s="12">
        <v>0.05</v>
      </c>
      <c r="K313" s="8">
        <v>17389.37</v>
      </c>
      <c r="L313">
        <v>82599.509999999995</v>
      </c>
      <c r="M313" s="8">
        <v>41271.85</v>
      </c>
      <c r="N313" s="8">
        <v>41327.660000000003</v>
      </c>
      <c r="O313" t="s">
        <v>37</v>
      </c>
      <c r="P313" t="str">
        <f>UPPER(TRIM(SalesData[[#This Row],[Payment Mode]]))</f>
        <v>DEBIT CARD</v>
      </c>
    </row>
    <row r="314" spans="1:16" x14ac:dyDescent="0.35">
      <c r="A314" s="4" t="s">
        <v>387</v>
      </c>
      <c r="B314" s="6">
        <v>45882</v>
      </c>
      <c r="C314" t="s">
        <v>89</v>
      </c>
      <c r="D314" t="str">
        <f>TRIM(SalesData[[#This Row],[Customer Name]])</f>
        <v>Kunal Thakur</v>
      </c>
      <c r="E314" t="s">
        <v>40</v>
      </c>
      <c r="F314" t="s">
        <v>23</v>
      </c>
      <c r="G314" t="s">
        <v>41</v>
      </c>
      <c r="H314" t="s">
        <v>42</v>
      </c>
      <c r="I314" s="10">
        <v>3</v>
      </c>
      <c r="J314" s="12">
        <v>0</v>
      </c>
      <c r="K314" s="8">
        <v>1801.93</v>
      </c>
      <c r="L314">
        <v>5405.79</v>
      </c>
      <c r="M314" s="8">
        <v>2082.66</v>
      </c>
      <c r="N314" s="8">
        <v>3323.13</v>
      </c>
      <c r="O314" t="s">
        <v>48</v>
      </c>
      <c r="P314" t="str">
        <f>UPPER(TRIM(SalesData[[#This Row],[Payment Mode]]))</f>
        <v>CREDIT CARD</v>
      </c>
    </row>
    <row r="315" spans="1:16" x14ac:dyDescent="0.35">
      <c r="A315" s="4" t="s">
        <v>388</v>
      </c>
      <c r="B315" s="6">
        <v>45884</v>
      </c>
      <c r="C315" t="s">
        <v>89</v>
      </c>
      <c r="D315" t="str">
        <f>TRIM(SalesData[[#This Row],[Customer Name]])</f>
        <v>Kunal Thakur</v>
      </c>
      <c r="E315" t="s">
        <v>28</v>
      </c>
      <c r="F315" t="s">
        <v>23</v>
      </c>
      <c r="G315" t="s">
        <v>35</v>
      </c>
      <c r="H315" t="s">
        <v>36</v>
      </c>
      <c r="I315" s="10">
        <v>5</v>
      </c>
      <c r="J315" s="12">
        <v>0.05</v>
      </c>
      <c r="K315" s="8">
        <v>1191.73</v>
      </c>
      <c r="L315">
        <v>5660.72</v>
      </c>
      <c r="M315" s="8">
        <v>1677.8</v>
      </c>
      <c r="N315" s="8">
        <v>3982.92</v>
      </c>
      <c r="O315" t="s">
        <v>37</v>
      </c>
      <c r="P315" t="str">
        <f>UPPER(TRIM(SalesData[[#This Row],[Payment Mode]]))</f>
        <v>DEBIT CARD</v>
      </c>
    </row>
    <row r="316" spans="1:16" x14ac:dyDescent="0.35">
      <c r="A316" s="4" t="s">
        <v>389</v>
      </c>
      <c r="B316" s="6">
        <v>45887</v>
      </c>
      <c r="C316" t="s">
        <v>80</v>
      </c>
      <c r="D316" t="str">
        <f>TRIM(SalesData[[#This Row],[Customer Name]])</f>
        <v>Sagar Mane</v>
      </c>
      <c r="E316" t="s">
        <v>46</v>
      </c>
      <c r="F316" t="s">
        <v>23</v>
      </c>
      <c r="G316" t="s">
        <v>32</v>
      </c>
      <c r="H316" t="s">
        <v>18</v>
      </c>
      <c r="I316" s="10">
        <v>4</v>
      </c>
      <c r="J316" s="12">
        <v>0.05</v>
      </c>
      <c r="K316" s="8">
        <v>52708.93</v>
      </c>
      <c r="L316">
        <v>200293.93</v>
      </c>
      <c r="M316" s="8">
        <v>163807.76</v>
      </c>
      <c r="N316" s="8">
        <v>36486.17</v>
      </c>
      <c r="O316" t="s">
        <v>37</v>
      </c>
      <c r="P316" t="str">
        <f>UPPER(TRIM(SalesData[[#This Row],[Payment Mode]]))</f>
        <v>DEBIT CARD</v>
      </c>
    </row>
    <row r="317" spans="1:16" x14ac:dyDescent="0.35">
      <c r="A317" s="4" t="s">
        <v>390</v>
      </c>
      <c r="B317" s="6">
        <v>45888</v>
      </c>
      <c r="C317" t="s">
        <v>15</v>
      </c>
      <c r="D317" t="str">
        <f>TRIM(SalesData[[#This Row],[Customer Name]])</f>
        <v>Isha Bhosale</v>
      </c>
      <c r="E317" t="s">
        <v>105</v>
      </c>
      <c r="F317" t="s">
        <v>106</v>
      </c>
      <c r="G317" t="s">
        <v>24</v>
      </c>
      <c r="H317" t="s">
        <v>25</v>
      </c>
      <c r="I317" s="10">
        <v>5</v>
      </c>
      <c r="J317" s="12">
        <v>0.1</v>
      </c>
      <c r="K317" s="8">
        <v>8993.0499999999993</v>
      </c>
      <c r="L317">
        <v>40468.720000000001</v>
      </c>
      <c r="M317" s="8">
        <v>21931.25</v>
      </c>
      <c r="N317" s="8">
        <v>18537.47</v>
      </c>
      <c r="O317" t="s">
        <v>48</v>
      </c>
      <c r="P317" t="str">
        <f>UPPER(TRIM(SalesData[[#This Row],[Payment Mode]]))</f>
        <v>CREDIT CARD</v>
      </c>
    </row>
    <row r="318" spans="1:16" x14ac:dyDescent="0.35">
      <c r="A318" s="4" t="s">
        <v>391</v>
      </c>
      <c r="B318" s="6">
        <v>45889</v>
      </c>
      <c r="C318" t="s">
        <v>59</v>
      </c>
      <c r="D318" t="str">
        <f>TRIM(SalesData[[#This Row],[Customer Name]])</f>
        <v>Rohan Deshmukh</v>
      </c>
      <c r="E318" t="s">
        <v>22</v>
      </c>
      <c r="F318" t="s">
        <v>23</v>
      </c>
      <c r="G318" t="s">
        <v>60</v>
      </c>
      <c r="H318" t="s">
        <v>36</v>
      </c>
      <c r="I318" s="10">
        <v>5</v>
      </c>
      <c r="J318" s="12">
        <v>0.05</v>
      </c>
      <c r="K318" s="8">
        <v>3377.52</v>
      </c>
      <c r="L318">
        <v>16043.22</v>
      </c>
      <c r="M318" s="8">
        <v>5894.8</v>
      </c>
      <c r="N318" s="8">
        <v>10148.42</v>
      </c>
      <c r="O318" t="s">
        <v>43</v>
      </c>
      <c r="P318" t="str">
        <f>UPPER(TRIM(SalesData[[#This Row],[Payment Mode]]))</f>
        <v>UPI</v>
      </c>
    </row>
    <row r="319" spans="1:16" x14ac:dyDescent="0.35">
      <c r="A319" s="4" t="s">
        <v>392</v>
      </c>
      <c r="B319" s="6">
        <v>45889</v>
      </c>
      <c r="C319" t="s">
        <v>95</v>
      </c>
      <c r="D319" t="str">
        <f>TRIM(SalesData[[#This Row],[Customer Name]])</f>
        <v>Rahul Pawar</v>
      </c>
      <c r="E319" t="s">
        <v>105</v>
      </c>
      <c r="F319" t="s">
        <v>106</v>
      </c>
      <c r="G319" t="s">
        <v>47</v>
      </c>
      <c r="H319" t="s">
        <v>25</v>
      </c>
      <c r="I319" s="10">
        <v>2</v>
      </c>
      <c r="J319" s="12">
        <v>0.1</v>
      </c>
      <c r="K319" s="8">
        <v>5957.39</v>
      </c>
      <c r="L319">
        <v>10723.3</v>
      </c>
      <c r="M319" s="8">
        <v>4850.54</v>
      </c>
      <c r="N319" s="8">
        <v>5872.76</v>
      </c>
      <c r="O319" t="s">
        <v>26</v>
      </c>
      <c r="P319" t="str">
        <f>UPPER(TRIM(SalesData[[#This Row],[Payment Mode]]))</f>
        <v>NET BANKING</v>
      </c>
    </row>
    <row r="320" spans="1:16" x14ac:dyDescent="0.35">
      <c r="A320" s="4" t="s">
        <v>393</v>
      </c>
      <c r="B320" s="6">
        <v>45891</v>
      </c>
      <c r="C320" t="s">
        <v>85</v>
      </c>
      <c r="D320" t="str">
        <f>TRIM(SalesData[[#This Row],[Customer Name]])</f>
        <v>Amit Verma</v>
      </c>
      <c r="E320" t="s">
        <v>73</v>
      </c>
      <c r="F320" t="s">
        <v>74</v>
      </c>
      <c r="G320" t="s">
        <v>75</v>
      </c>
      <c r="H320" t="s">
        <v>18</v>
      </c>
      <c r="I320" s="10">
        <v>2</v>
      </c>
      <c r="J320" s="12">
        <v>0</v>
      </c>
      <c r="K320" s="8">
        <v>15368.55</v>
      </c>
      <c r="L320">
        <v>30737.1</v>
      </c>
      <c r="M320" s="8">
        <v>17500.259999999998</v>
      </c>
      <c r="N320" s="8">
        <v>13236.84</v>
      </c>
      <c r="O320" t="s">
        <v>394</v>
      </c>
      <c r="P320" t="str">
        <f>UPPER(TRIM(SalesData[[#This Row],[Payment Mode]]))</f>
        <v>CREDIT CARD</v>
      </c>
    </row>
    <row r="321" spans="1:16" x14ac:dyDescent="0.35">
      <c r="A321" s="4" t="s">
        <v>395</v>
      </c>
      <c r="B321" s="6">
        <v>45893</v>
      </c>
      <c r="C321" t="s">
        <v>56</v>
      </c>
      <c r="D321" t="str">
        <f>TRIM(SalesData[[#This Row],[Customer Name]])</f>
        <v>Pooja Shinde</v>
      </c>
      <c r="E321" t="s">
        <v>105</v>
      </c>
      <c r="F321" t="s">
        <v>106</v>
      </c>
      <c r="G321" t="s">
        <v>107</v>
      </c>
      <c r="H321" t="s">
        <v>36</v>
      </c>
      <c r="I321" s="10">
        <v>4</v>
      </c>
      <c r="J321" s="12">
        <v>0.15</v>
      </c>
      <c r="K321" s="8">
        <v>1846.67</v>
      </c>
      <c r="L321">
        <v>6278.68</v>
      </c>
      <c r="M321" s="8">
        <v>2512.2800000000002</v>
      </c>
      <c r="N321" s="8">
        <v>3766.4</v>
      </c>
      <c r="O321" t="s">
        <v>37</v>
      </c>
      <c r="P321" t="str">
        <f>UPPER(TRIM(SalesData[[#This Row],[Payment Mode]]))</f>
        <v>DEBIT CARD</v>
      </c>
    </row>
    <row r="322" spans="1:16" x14ac:dyDescent="0.35">
      <c r="A322" s="4" t="s">
        <v>396</v>
      </c>
      <c r="B322" s="6">
        <v>45894</v>
      </c>
      <c r="C322" t="s">
        <v>34</v>
      </c>
      <c r="D322" t="str">
        <f>TRIM(SalesData[[#This Row],[Customer Name]])</f>
        <v>Meera Desai</v>
      </c>
      <c r="E322" t="s">
        <v>28</v>
      </c>
      <c r="F322" t="s">
        <v>23</v>
      </c>
      <c r="G322" t="s">
        <v>35</v>
      </c>
      <c r="H322" t="s">
        <v>36</v>
      </c>
      <c r="I322" s="10">
        <v>1</v>
      </c>
      <c r="J322" s="12">
        <v>0.1</v>
      </c>
      <c r="K322" s="8">
        <v>1230.45</v>
      </c>
      <c r="L322">
        <v>1107.4000000000001</v>
      </c>
      <c r="M322" s="8">
        <v>340.04</v>
      </c>
      <c r="N322" s="8">
        <v>767.36</v>
      </c>
      <c r="O322" t="s">
        <v>43</v>
      </c>
      <c r="P322" t="str">
        <f>UPPER(TRIM(SalesData[[#This Row],[Payment Mode]]))</f>
        <v>UPI</v>
      </c>
    </row>
    <row r="323" spans="1:16" x14ac:dyDescent="0.35">
      <c r="A323" s="4" t="s">
        <v>397</v>
      </c>
      <c r="B323" s="6">
        <v>45894</v>
      </c>
      <c r="C323" t="s">
        <v>95</v>
      </c>
      <c r="D323" t="str">
        <f>TRIM(SalesData[[#This Row],[Customer Name]])</f>
        <v>Rahul Pawar</v>
      </c>
      <c r="E323" t="s">
        <v>22</v>
      </c>
      <c r="F323" t="s">
        <v>23</v>
      </c>
      <c r="G323" t="s">
        <v>24</v>
      </c>
      <c r="H323" t="s">
        <v>25</v>
      </c>
      <c r="I323" s="10">
        <v>1</v>
      </c>
      <c r="J323" s="12">
        <v>0.05</v>
      </c>
      <c r="K323" s="8">
        <v>9011.2099999999991</v>
      </c>
      <c r="L323">
        <v>8560.65</v>
      </c>
      <c r="M323" s="8">
        <v>4608.76</v>
      </c>
      <c r="N323" s="8">
        <v>3951.89</v>
      </c>
      <c r="O323" t="s">
        <v>43</v>
      </c>
      <c r="P323" t="str">
        <f>UPPER(TRIM(SalesData[[#This Row],[Payment Mode]]))</f>
        <v>UPI</v>
      </c>
    </row>
    <row r="324" spans="1:16" x14ac:dyDescent="0.35">
      <c r="A324" s="4" t="s">
        <v>398</v>
      </c>
      <c r="B324" s="6">
        <v>45896</v>
      </c>
      <c r="C324" t="s">
        <v>62</v>
      </c>
      <c r="D324" t="str">
        <f>TRIM(SalesData[[#This Row],[Customer Name]])</f>
        <v>Vivek More</v>
      </c>
      <c r="E324" t="s">
        <v>46</v>
      </c>
      <c r="F324" t="s">
        <v>23</v>
      </c>
      <c r="G324" t="s">
        <v>60</v>
      </c>
      <c r="H324" t="s">
        <v>36</v>
      </c>
      <c r="I324" s="10">
        <v>3</v>
      </c>
      <c r="J324" s="12">
        <v>0.1</v>
      </c>
      <c r="K324" s="8">
        <v>3343.17</v>
      </c>
      <c r="L324">
        <v>9026.56</v>
      </c>
      <c r="M324" s="8">
        <v>3488.79</v>
      </c>
      <c r="N324" s="8">
        <v>5537.77</v>
      </c>
      <c r="O324" t="s">
        <v>26</v>
      </c>
      <c r="P324" t="str">
        <f>UPPER(TRIM(SalesData[[#This Row],[Payment Mode]]))</f>
        <v>NET BANKING</v>
      </c>
    </row>
    <row r="325" spans="1:16" x14ac:dyDescent="0.35">
      <c r="A325" s="4" t="s">
        <v>399</v>
      </c>
      <c r="B325" s="6">
        <v>45898</v>
      </c>
      <c r="C325" t="s">
        <v>30</v>
      </c>
      <c r="D325" t="str">
        <f>TRIM(SalesData[[#This Row],[Customer Name]])</f>
        <v>Swati Kale</v>
      </c>
      <c r="E325" t="s">
        <v>40</v>
      </c>
      <c r="F325" t="s">
        <v>23</v>
      </c>
      <c r="G325" t="s">
        <v>35</v>
      </c>
      <c r="H325" t="s">
        <v>36</v>
      </c>
      <c r="I325" s="10">
        <v>4</v>
      </c>
      <c r="J325" s="12">
        <v>0.15</v>
      </c>
      <c r="K325" s="8">
        <v>1230.51</v>
      </c>
      <c r="L325">
        <v>4183.7299999999996</v>
      </c>
      <c r="M325" s="8">
        <v>1385.04</v>
      </c>
      <c r="N325" s="8">
        <v>2798.69</v>
      </c>
      <c r="O325" t="s">
        <v>37</v>
      </c>
      <c r="P325" t="str">
        <f>UPPER(TRIM(SalesData[[#This Row],[Payment Mode]]))</f>
        <v>DEBIT CARD</v>
      </c>
    </row>
    <row r="326" spans="1:16" x14ac:dyDescent="0.35">
      <c r="A326" s="4" t="s">
        <v>400</v>
      </c>
      <c r="B326" s="6">
        <v>45899</v>
      </c>
      <c r="C326" t="s">
        <v>80</v>
      </c>
      <c r="D326" t="str">
        <f>TRIM(SalesData[[#This Row],[Customer Name]])</f>
        <v>Sagar Mane</v>
      </c>
      <c r="E326" t="s">
        <v>86</v>
      </c>
      <c r="F326" t="s">
        <v>87</v>
      </c>
      <c r="G326" t="s">
        <v>17</v>
      </c>
      <c r="H326" t="s">
        <v>18</v>
      </c>
      <c r="I326" s="10">
        <v>2</v>
      </c>
      <c r="J326" s="12">
        <v>0</v>
      </c>
      <c r="K326" s="8">
        <v>12142.74</v>
      </c>
      <c r="L326">
        <v>24285.48</v>
      </c>
      <c r="M326" s="8">
        <v>12770.56</v>
      </c>
      <c r="N326" s="8">
        <v>11514.92</v>
      </c>
      <c r="O326" t="s">
        <v>26</v>
      </c>
      <c r="P326" t="str">
        <f>UPPER(TRIM(SalesData[[#This Row],[Payment Mode]]))</f>
        <v>NET BANKING</v>
      </c>
    </row>
    <row r="327" spans="1:16" x14ac:dyDescent="0.35">
      <c r="A327" s="4" t="s">
        <v>401</v>
      </c>
      <c r="B327" s="6">
        <v>45899</v>
      </c>
      <c r="C327" t="s">
        <v>59</v>
      </c>
      <c r="D327" t="str">
        <f>TRIM(SalesData[[#This Row],[Customer Name]])</f>
        <v>Rohan Deshmukh</v>
      </c>
      <c r="E327" t="s">
        <v>31</v>
      </c>
      <c r="F327" t="s">
        <v>23</v>
      </c>
      <c r="G327" t="s">
        <v>47</v>
      </c>
      <c r="H327" t="s">
        <v>25</v>
      </c>
      <c r="I327" s="10">
        <v>5</v>
      </c>
      <c r="J327" s="12">
        <v>0</v>
      </c>
      <c r="K327" s="8">
        <v>5760.47</v>
      </c>
      <c r="L327">
        <v>28802.35</v>
      </c>
      <c r="M327" s="8">
        <v>11897.8</v>
      </c>
      <c r="N327" s="8">
        <v>16904.55</v>
      </c>
      <c r="O327" t="s">
        <v>43</v>
      </c>
      <c r="P327" t="str">
        <f>UPPER(TRIM(SalesData[[#This Row],[Payment Mode]]))</f>
        <v>UPI</v>
      </c>
    </row>
    <row r="328" spans="1:16" x14ac:dyDescent="0.35">
      <c r="A328" s="4" t="s">
        <v>402</v>
      </c>
      <c r="B328" s="6">
        <v>45900</v>
      </c>
      <c r="C328" t="s">
        <v>80</v>
      </c>
      <c r="D328" t="str">
        <f>TRIM(SalesData[[#This Row],[Customer Name]])</f>
        <v>Sagar Mane</v>
      </c>
      <c r="E328" t="s">
        <v>46</v>
      </c>
      <c r="F328" t="s">
        <v>23</v>
      </c>
      <c r="G328" t="s">
        <v>65</v>
      </c>
      <c r="H328" t="s">
        <v>18</v>
      </c>
      <c r="I328" s="10">
        <v>1</v>
      </c>
      <c r="J328" s="12">
        <v>0.05</v>
      </c>
      <c r="K328" s="8">
        <v>21042.97</v>
      </c>
      <c r="L328">
        <v>19990.82</v>
      </c>
      <c r="M328" s="8">
        <v>13862.21</v>
      </c>
      <c r="N328" s="8">
        <v>6128.61</v>
      </c>
      <c r="O328" t="s">
        <v>48</v>
      </c>
      <c r="P328" t="str">
        <f>UPPER(TRIM(SalesData[[#This Row],[Payment Mode]]))</f>
        <v>CREDIT CARD</v>
      </c>
    </row>
    <row r="329" spans="1:16" x14ac:dyDescent="0.35">
      <c r="A329" s="4" t="s">
        <v>403</v>
      </c>
      <c r="B329" s="6">
        <v>45903</v>
      </c>
      <c r="C329" t="s">
        <v>64</v>
      </c>
      <c r="D329" t="str">
        <f>TRIM(SalesData[[#This Row],[Customer Name]])</f>
        <v>Neha Jadhav</v>
      </c>
      <c r="E329" t="s">
        <v>16</v>
      </c>
      <c r="F329" t="s">
        <v>16</v>
      </c>
      <c r="G329" t="s">
        <v>47</v>
      </c>
      <c r="H329" t="s">
        <v>25</v>
      </c>
      <c r="I329" s="10">
        <v>5</v>
      </c>
      <c r="J329" s="12">
        <v>0</v>
      </c>
      <c r="K329" s="8">
        <v>6278.29</v>
      </c>
      <c r="L329">
        <v>31391.45</v>
      </c>
      <c r="M329" s="8">
        <v>12185.75</v>
      </c>
      <c r="N329" s="8">
        <v>19205.7</v>
      </c>
      <c r="O329" t="s">
        <v>26</v>
      </c>
      <c r="P329" t="str">
        <f>UPPER(TRIM(SalesData[[#This Row],[Payment Mode]]))</f>
        <v>NET BANKING</v>
      </c>
    </row>
    <row r="330" spans="1:16" x14ac:dyDescent="0.35">
      <c r="A330" s="4" t="s">
        <v>404</v>
      </c>
      <c r="B330" s="6">
        <v>45904</v>
      </c>
      <c r="C330" t="s">
        <v>56</v>
      </c>
      <c r="D330" t="str">
        <f>TRIM(SalesData[[#This Row],[Customer Name]])</f>
        <v>Pooja Shinde</v>
      </c>
      <c r="E330" t="s">
        <v>28</v>
      </c>
      <c r="F330" t="s">
        <v>23</v>
      </c>
      <c r="G330" t="s">
        <v>107</v>
      </c>
      <c r="H330" t="s">
        <v>36</v>
      </c>
      <c r="I330" s="10">
        <v>5</v>
      </c>
      <c r="J330" s="12">
        <v>0.05</v>
      </c>
      <c r="K330" s="8">
        <v>1779.26</v>
      </c>
      <c r="L330">
        <v>8451.48</v>
      </c>
      <c r="M330" s="8">
        <v>2996.8</v>
      </c>
      <c r="N330" s="8">
        <v>5454.68</v>
      </c>
      <c r="O330" t="s">
        <v>26</v>
      </c>
      <c r="P330" t="str">
        <f>UPPER(TRIM(SalesData[[#This Row],[Payment Mode]]))</f>
        <v>NET BANKING</v>
      </c>
    </row>
    <row r="331" spans="1:16" x14ac:dyDescent="0.35">
      <c r="A331" s="4" t="s">
        <v>405</v>
      </c>
      <c r="B331" s="6">
        <v>45904</v>
      </c>
      <c r="C331" t="s">
        <v>56</v>
      </c>
      <c r="D331" t="str">
        <f>TRIM(SalesData[[#This Row],[Customer Name]])</f>
        <v>Pooja Shinde</v>
      </c>
      <c r="E331" t="s">
        <v>22</v>
      </c>
      <c r="F331" t="s">
        <v>23</v>
      </c>
      <c r="G331" t="s">
        <v>101</v>
      </c>
      <c r="H331" t="s">
        <v>18</v>
      </c>
      <c r="I331" s="10">
        <v>5</v>
      </c>
      <c r="J331" s="12">
        <v>0.1</v>
      </c>
      <c r="K331" s="8">
        <v>18828.240000000002</v>
      </c>
      <c r="L331">
        <v>84727.08</v>
      </c>
      <c r="M331" s="8">
        <v>40085.85</v>
      </c>
      <c r="N331" s="8">
        <v>44641.23</v>
      </c>
      <c r="O331" t="s">
        <v>26</v>
      </c>
      <c r="P331" t="str">
        <f>UPPER(TRIM(SalesData[[#This Row],[Payment Mode]]))</f>
        <v>NET BANKING</v>
      </c>
    </row>
    <row r="332" spans="1:16" x14ac:dyDescent="0.35">
      <c r="A332" s="4" t="s">
        <v>406</v>
      </c>
      <c r="B332" s="6">
        <v>45904</v>
      </c>
      <c r="C332" t="s">
        <v>59</v>
      </c>
      <c r="D332" t="str">
        <f>TRIM(SalesData[[#This Row],[Customer Name]])</f>
        <v>Rohan Deshmukh</v>
      </c>
      <c r="E332" t="s">
        <v>28</v>
      </c>
      <c r="F332" t="s">
        <v>23</v>
      </c>
      <c r="G332" t="s">
        <v>75</v>
      </c>
      <c r="H332" t="s">
        <v>18</v>
      </c>
      <c r="I332" s="10">
        <v>4</v>
      </c>
      <c r="J332" s="12">
        <v>0.05</v>
      </c>
      <c r="K332" s="8">
        <v>15467.41</v>
      </c>
      <c r="L332">
        <v>58776.160000000003</v>
      </c>
      <c r="M332" s="8">
        <v>36559</v>
      </c>
      <c r="N332" s="8">
        <v>22217.16</v>
      </c>
      <c r="O332" t="s">
        <v>19</v>
      </c>
      <c r="P332" t="str">
        <f>UPPER(TRIM(SalesData[[#This Row],[Payment Mode]]))</f>
        <v>CASH</v>
      </c>
    </row>
    <row r="333" spans="1:16" x14ac:dyDescent="0.35">
      <c r="A333" s="4" t="s">
        <v>407</v>
      </c>
      <c r="B333" s="6">
        <v>45904</v>
      </c>
      <c r="C333" t="s">
        <v>34</v>
      </c>
      <c r="D333" t="str">
        <f>TRIM(SalesData[[#This Row],[Customer Name]])</f>
        <v>Meera Desai</v>
      </c>
      <c r="E333" t="s">
        <v>83</v>
      </c>
      <c r="F333" t="s">
        <v>23</v>
      </c>
      <c r="G333" t="s">
        <v>60</v>
      </c>
      <c r="H333" t="s">
        <v>36</v>
      </c>
      <c r="I333" s="10">
        <v>2</v>
      </c>
      <c r="J333" s="12">
        <v>0.05</v>
      </c>
      <c r="K333" s="8">
        <v>3562.34</v>
      </c>
      <c r="L333">
        <v>6768.45</v>
      </c>
      <c r="M333" s="8">
        <v>2410.3200000000002</v>
      </c>
      <c r="N333" s="8">
        <v>4358.13</v>
      </c>
      <c r="O333" t="s">
        <v>37</v>
      </c>
      <c r="P333" t="str">
        <f>UPPER(TRIM(SalesData[[#This Row],[Payment Mode]]))</f>
        <v>DEBIT CARD</v>
      </c>
    </row>
    <row r="334" spans="1:16" x14ac:dyDescent="0.35">
      <c r="A334" s="4" t="s">
        <v>408</v>
      </c>
      <c r="B334" s="6">
        <v>45905</v>
      </c>
      <c r="C334" t="s">
        <v>50</v>
      </c>
      <c r="D334" t="str">
        <f>TRIM(SalesData[[#This Row],[Customer Name]])</f>
        <v>Priya Patil</v>
      </c>
      <c r="E334" t="s">
        <v>73</v>
      </c>
      <c r="F334" t="s">
        <v>74</v>
      </c>
      <c r="G334" t="s">
        <v>41</v>
      </c>
      <c r="H334" t="s">
        <v>42</v>
      </c>
      <c r="I334" s="10">
        <v>5</v>
      </c>
      <c r="J334" s="12">
        <v>0.05</v>
      </c>
      <c r="K334" s="8">
        <v>1829.24</v>
      </c>
      <c r="L334">
        <v>8688.89</v>
      </c>
      <c r="M334" s="8">
        <v>3366.5</v>
      </c>
      <c r="N334" s="8">
        <v>5322.39</v>
      </c>
      <c r="O334" t="s">
        <v>37</v>
      </c>
      <c r="P334" t="str">
        <f>UPPER(TRIM(SalesData[[#This Row],[Payment Mode]]))</f>
        <v>DEBIT CARD</v>
      </c>
    </row>
    <row r="335" spans="1:16" x14ac:dyDescent="0.35">
      <c r="A335" s="4" t="s">
        <v>409</v>
      </c>
      <c r="B335" s="6">
        <v>45907</v>
      </c>
      <c r="C335" t="s">
        <v>34</v>
      </c>
      <c r="D335" t="str">
        <f>TRIM(SalesData[[#This Row],[Customer Name]])</f>
        <v>Meera Desai</v>
      </c>
      <c r="E335" t="s">
        <v>86</v>
      </c>
      <c r="F335" t="s">
        <v>87</v>
      </c>
      <c r="G335" t="s">
        <v>35</v>
      </c>
      <c r="H335" t="s">
        <v>36</v>
      </c>
      <c r="I335" s="10">
        <v>5</v>
      </c>
      <c r="J335" s="12">
        <v>0.05</v>
      </c>
      <c r="K335" s="8">
        <v>1203.77</v>
      </c>
      <c r="L335">
        <v>5717.91</v>
      </c>
      <c r="M335" s="8">
        <v>1712.9</v>
      </c>
      <c r="N335" s="8">
        <v>4005.01</v>
      </c>
      <c r="O335" t="s">
        <v>19</v>
      </c>
      <c r="P335" t="str">
        <f>UPPER(TRIM(SalesData[[#This Row],[Payment Mode]]))</f>
        <v>CASH</v>
      </c>
    </row>
    <row r="336" spans="1:16" x14ac:dyDescent="0.35">
      <c r="A336" s="4" t="s">
        <v>410</v>
      </c>
      <c r="B336" s="6">
        <v>45907</v>
      </c>
      <c r="C336" t="s">
        <v>39</v>
      </c>
      <c r="D336" t="str">
        <f>TRIM(SalesData[[#This Row],[Customer Name]])</f>
        <v>Akash Wagh</v>
      </c>
      <c r="E336" t="s">
        <v>31</v>
      </c>
      <c r="F336" t="s">
        <v>23</v>
      </c>
      <c r="G336" t="s">
        <v>35</v>
      </c>
      <c r="H336" t="s">
        <v>36</v>
      </c>
      <c r="I336" s="10">
        <v>5</v>
      </c>
      <c r="J336" s="12">
        <v>0.1</v>
      </c>
      <c r="K336" s="8">
        <v>1192.8499999999999</v>
      </c>
      <c r="L336">
        <v>5367.82</v>
      </c>
      <c r="M336" s="8">
        <v>1715.4</v>
      </c>
      <c r="N336" s="8">
        <v>3652.42</v>
      </c>
      <c r="O336" t="s">
        <v>26</v>
      </c>
      <c r="P336" t="str">
        <f>UPPER(TRIM(SalesData[[#This Row],[Payment Mode]]))</f>
        <v>NET BANKING</v>
      </c>
    </row>
    <row r="337" spans="1:16" x14ac:dyDescent="0.35">
      <c r="A337" s="4" t="s">
        <v>411</v>
      </c>
      <c r="B337" s="6">
        <v>45910</v>
      </c>
      <c r="C337" t="s">
        <v>64</v>
      </c>
      <c r="D337" t="str">
        <f>TRIM(SalesData[[#This Row],[Customer Name]])</f>
        <v>Neha Jadhav</v>
      </c>
      <c r="E337" t="s">
        <v>28</v>
      </c>
      <c r="F337" t="s">
        <v>23</v>
      </c>
      <c r="G337" t="s">
        <v>101</v>
      </c>
      <c r="H337" t="s">
        <v>18</v>
      </c>
      <c r="I337" s="10">
        <v>3</v>
      </c>
      <c r="J337" s="12">
        <v>0</v>
      </c>
      <c r="K337" s="8">
        <v>17357.39</v>
      </c>
      <c r="L337">
        <v>52072.17</v>
      </c>
      <c r="M337" s="8">
        <v>24627.63</v>
      </c>
      <c r="N337" s="8">
        <v>27444.54</v>
      </c>
      <c r="O337" t="s">
        <v>26</v>
      </c>
      <c r="P337" t="str">
        <f>UPPER(TRIM(SalesData[[#This Row],[Payment Mode]]))</f>
        <v>NET BANKING</v>
      </c>
    </row>
    <row r="338" spans="1:16" x14ac:dyDescent="0.35">
      <c r="A338" s="4" t="s">
        <v>412</v>
      </c>
      <c r="B338" s="6">
        <v>45911</v>
      </c>
      <c r="C338" t="s">
        <v>59</v>
      </c>
      <c r="D338" t="str">
        <f>TRIM(SalesData[[#This Row],[Customer Name]])</f>
        <v>Rohan Deshmukh</v>
      </c>
      <c r="E338" t="s">
        <v>105</v>
      </c>
      <c r="F338" t="s">
        <v>106</v>
      </c>
      <c r="G338" t="s">
        <v>41</v>
      </c>
      <c r="H338" t="s">
        <v>42</v>
      </c>
      <c r="I338" s="10">
        <v>2</v>
      </c>
      <c r="J338" s="12">
        <v>0.1</v>
      </c>
      <c r="K338" s="8">
        <v>1810.44</v>
      </c>
      <c r="L338">
        <v>3258.79</v>
      </c>
      <c r="M338" s="8">
        <v>1407.36</v>
      </c>
      <c r="N338" s="8">
        <v>1851.43</v>
      </c>
      <c r="O338" t="s">
        <v>19</v>
      </c>
      <c r="P338" t="str">
        <f>UPPER(TRIM(SalesData[[#This Row],[Payment Mode]]))</f>
        <v>CASH</v>
      </c>
    </row>
    <row r="339" spans="1:16" x14ac:dyDescent="0.35">
      <c r="A339" s="4" t="s">
        <v>413</v>
      </c>
      <c r="B339" s="6">
        <v>45912</v>
      </c>
      <c r="C339" t="s">
        <v>85</v>
      </c>
      <c r="D339" t="str">
        <f>TRIM(SalesData[[#This Row],[Customer Name]])</f>
        <v>Amit Verma</v>
      </c>
      <c r="E339" t="s">
        <v>86</v>
      </c>
      <c r="F339" t="s">
        <v>87</v>
      </c>
      <c r="G339" t="s">
        <v>35</v>
      </c>
      <c r="H339" t="s">
        <v>36</v>
      </c>
      <c r="I339" s="10">
        <v>4</v>
      </c>
      <c r="J339" s="12">
        <v>0</v>
      </c>
      <c r="K339" s="8">
        <v>1141.08</v>
      </c>
      <c r="L339">
        <v>4564.32</v>
      </c>
      <c r="M339" s="8">
        <v>1380</v>
      </c>
      <c r="N339" s="8">
        <v>3184.32</v>
      </c>
      <c r="O339" t="s">
        <v>26</v>
      </c>
      <c r="P339" t="str">
        <f>UPPER(TRIM(SalesData[[#This Row],[Payment Mode]]))</f>
        <v>NET BANKING</v>
      </c>
    </row>
    <row r="340" spans="1:16" x14ac:dyDescent="0.35">
      <c r="A340" s="4" t="s">
        <v>414</v>
      </c>
      <c r="B340" s="6">
        <v>45912</v>
      </c>
      <c r="C340" t="s">
        <v>56</v>
      </c>
      <c r="D340" t="str">
        <f>TRIM(SalesData[[#This Row],[Customer Name]])</f>
        <v>Pooja Shinde</v>
      </c>
      <c r="E340" t="s">
        <v>53</v>
      </c>
      <c r="F340" t="s">
        <v>54</v>
      </c>
      <c r="G340" t="s">
        <v>65</v>
      </c>
      <c r="H340" t="s">
        <v>18</v>
      </c>
      <c r="I340" s="10">
        <v>5</v>
      </c>
      <c r="J340" s="12">
        <v>0</v>
      </c>
      <c r="K340" s="8">
        <v>22113.79</v>
      </c>
      <c r="L340">
        <v>110568.95</v>
      </c>
      <c r="M340" s="8">
        <v>68277.2</v>
      </c>
      <c r="N340" s="8">
        <v>42291.75</v>
      </c>
      <c r="O340" t="s">
        <v>43</v>
      </c>
      <c r="P340" t="str">
        <f>UPPER(TRIM(SalesData[[#This Row],[Payment Mode]]))</f>
        <v>UPI</v>
      </c>
    </row>
    <row r="341" spans="1:16" x14ac:dyDescent="0.35">
      <c r="A341" s="4" t="s">
        <v>415</v>
      </c>
      <c r="B341" s="6">
        <v>45913</v>
      </c>
      <c r="C341" t="s">
        <v>67</v>
      </c>
      <c r="D341" t="str">
        <f>TRIM(SalesData[[#This Row],[Customer Name]])</f>
        <v>Anjali Chavan</v>
      </c>
      <c r="E341" t="s">
        <v>22</v>
      </c>
      <c r="F341" t="s">
        <v>23</v>
      </c>
      <c r="G341" t="s">
        <v>75</v>
      </c>
      <c r="H341" t="s">
        <v>18</v>
      </c>
      <c r="I341" s="10">
        <v>2</v>
      </c>
      <c r="J341" s="12">
        <v>0</v>
      </c>
      <c r="K341" s="8">
        <v>15557.78</v>
      </c>
      <c r="L341">
        <v>31115.56</v>
      </c>
      <c r="M341" s="8">
        <v>18823.18</v>
      </c>
      <c r="N341" s="8">
        <v>12292.38</v>
      </c>
      <c r="O341" t="s">
        <v>43</v>
      </c>
      <c r="P341" t="str">
        <f>UPPER(TRIM(SalesData[[#This Row],[Payment Mode]]))</f>
        <v>UPI</v>
      </c>
    </row>
    <row r="342" spans="1:16" x14ac:dyDescent="0.35">
      <c r="A342" s="4" t="s">
        <v>416</v>
      </c>
      <c r="B342" s="6">
        <v>45914</v>
      </c>
      <c r="C342" t="s">
        <v>93</v>
      </c>
      <c r="D342" t="str">
        <f>TRIM(SalesData[[#This Row],[Customer Name]])</f>
        <v>Aditya Joshi</v>
      </c>
      <c r="E342" t="s">
        <v>31</v>
      </c>
      <c r="F342" t="s">
        <v>23</v>
      </c>
      <c r="G342" t="s">
        <v>77</v>
      </c>
      <c r="H342" t="s">
        <v>25</v>
      </c>
      <c r="I342" s="10">
        <v>3</v>
      </c>
      <c r="J342" s="12">
        <v>0.05</v>
      </c>
      <c r="K342" s="8">
        <v>7412.2</v>
      </c>
      <c r="L342">
        <v>21124.77</v>
      </c>
      <c r="M342" s="8">
        <v>10995.3</v>
      </c>
      <c r="N342" s="8">
        <v>10129.469999999999</v>
      </c>
      <c r="O342" t="s">
        <v>48</v>
      </c>
      <c r="P342" t="str">
        <f>UPPER(TRIM(SalesData[[#This Row],[Payment Mode]]))</f>
        <v>CREDIT CARD</v>
      </c>
    </row>
    <row r="343" spans="1:16" x14ac:dyDescent="0.35">
      <c r="A343" s="4" t="s">
        <v>417</v>
      </c>
      <c r="B343" s="6">
        <v>45915</v>
      </c>
      <c r="C343" t="s">
        <v>62</v>
      </c>
      <c r="D343" t="str">
        <f>TRIM(SalesData[[#This Row],[Customer Name]])</f>
        <v>Vivek More</v>
      </c>
      <c r="E343" t="s">
        <v>73</v>
      </c>
      <c r="F343" t="s">
        <v>74</v>
      </c>
      <c r="G343" t="s">
        <v>77</v>
      </c>
      <c r="H343" t="s">
        <v>25</v>
      </c>
      <c r="I343" s="10">
        <v>4</v>
      </c>
      <c r="J343" s="12">
        <v>0.1</v>
      </c>
      <c r="K343" s="8">
        <v>7428.18</v>
      </c>
      <c r="L343">
        <v>26741.45</v>
      </c>
      <c r="M343" s="8">
        <v>13749.52</v>
      </c>
      <c r="N343" s="8">
        <v>12991.93</v>
      </c>
      <c r="O343" t="s">
        <v>48</v>
      </c>
      <c r="P343" t="str">
        <f>UPPER(TRIM(SalesData[[#This Row],[Payment Mode]]))</f>
        <v>CREDIT CARD</v>
      </c>
    </row>
    <row r="344" spans="1:16" x14ac:dyDescent="0.35">
      <c r="A344" s="4" t="s">
        <v>418</v>
      </c>
      <c r="B344" s="6">
        <v>45917</v>
      </c>
      <c r="C344" t="s">
        <v>168</v>
      </c>
      <c r="D344" t="str">
        <f>TRIM(SalesData[[#This Row],[Customer Name]])</f>
        <v>Kavita Singh</v>
      </c>
      <c r="E344" t="s">
        <v>86</v>
      </c>
      <c r="F344" t="s">
        <v>87</v>
      </c>
      <c r="G344" t="s">
        <v>41</v>
      </c>
      <c r="H344" t="s">
        <v>42</v>
      </c>
      <c r="I344" s="10">
        <v>2</v>
      </c>
      <c r="J344" s="12">
        <v>0.05</v>
      </c>
      <c r="K344" s="8">
        <v>1723.15</v>
      </c>
      <c r="L344">
        <v>3273.98</v>
      </c>
      <c r="M344" s="8">
        <v>1417.12</v>
      </c>
      <c r="N344" s="8">
        <v>1856.86</v>
      </c>
      <c r="O344" t="s">
        <v>37</v>
      </c>
      <c r="P344" t="str">
        <f>UPPER(TRIM(SalesData[[#This Row],[Payment Mode]]))</f>
        <v>DEBIT CARD</v>
      </c>
    </row>
    <row r="345" spans="1:16" x14ac:dyDescent="0.35">
      <c r="A345" s="4" t="s">
        <v>419</v>
      </c>
      <c r="B345" s="6">
        <v>45917</v>
      </c>
      <c r="C345" t="s">
        <v>64</v>
      </c>
      <c r="D345" t="str">
        <f>TRIM(SalesData[[#This Row],[Customer Name]])</f>
        <v>Neha Jadhav</v>
      </c>
      <c r="E345" t="s">
        <v>22</v>
      </c>
      <c r="F345" t="s">
        <v>23</v>
      </c>
      <c r="G345" t="s">
        <v>101</v>
      </c>
      <c r="H345" t="s">
        <v>18</v>
      </c>
      <c r="I345" s="10">
        <v>1</v>
      </c>
      <c r="J345" s="12">
        <v>0</v>
      </c>
      <c r="K345" s="8">
        <v>18871.400000000001</v>
      </c>
      <c r="L345">
        <v>18871.400000000001</v>
      </c>
      <c r="M345" s="8">
        <v>8134.34</v>
      </c>
      <c r="N345" s="8">
        <v>10737.06</v>
      </c>
      <c r="O345" t="s">
        <v>48</v>
      </c>
      <c r="P345" t="str">
        <f>UPPER(TRIM(SalesData[[#This Row],[Payment Mode]]))</f>
        <v>CREDIT CARD</v>
      </c>
    </row>
    <row r="346" spans="1:16" x14ac:dyDescent="0.35">
      <c r="A346" s="4" t="s">
        <v>420</v>
      </c>
      <c r="B346" s="6">
        <v>45918</v>
      </c>
      <c r="C346" t="s">
        <v>93</v>
      </c>
      <c r="D346" t="str">
        <f>TRIM(SalesData[[#This Row],[Customer Name]])</f>
        <v>Aditya Joshi</v>
      </c>
      <c r="E346" t="s">
        <v>83</v>
      </c>
      <c r="F346" t="s">
        <v>23</v>
      </c>
      <c r="G346" t="s">
        <v>60</v>
      </c>
      <c r="H346" t="s">
        <v>36</v>
      </c>
      <c r="I346" s="10">
        <v>3</v>
      </c>
      <c r="J346" s="12">
        <v>0</v>
      </c>
      <c r="K346" s="8">
        <v>3457.89</v>
      </c>
      <c r="L346">
        <v>10373.67</v>
      </c>
      <c r="M346" s="8">
        <v>3632.52</v>
      </c>
      <c r="N346" s="8">
        <v>6741.15</v>
      </c>
      <c r="O346" t="s">
        <v>43</v>
      </c>
      <c r="P346" t="str">
        <f>UPPER(TRIM(SalesData[[#This Row],[Payment Mode]]))</f>
        <v>UPI</v>
      </c>
    </row>
    <row r="347" spans="1:16" x14ac:dyDescent="0.35">
      <c r="A347" s="4" t="s">
        <v>421</v>
      </c>
      <c r="B347" s="6">
        <v>45918</v>
      </c>
      <c r="C347" t="s">
        <v>21</v>
      </c>
      <c r="D347" t="str">
        <f>TRIM(SalesData[[#This Row],[Customer Name]])</f>
        <v>Aarav Sharma</v>
      </c>
      <c r="E347" t="s">
        <v>40</v>
      </c>
      <c r="F347" t="s">
        <v>23</v>
      </c>
      <c r="G347" t="s">
        <v>24</v>
      </c>
      <c r="H347" t="s">
        <v>25</v>
      </c>
      <c r="I347" s="10">
        <v>1</v>
      </c>
      <c r="J347" s="12">
        <v>0</v>
      </c>
      <c r="K347" s="8">
        <v>9422.4699999999993</v>
      </c>
      <c r="L347">
        <v>9422.4699999999993</v>
      </c>
      <c r="M347" s="8">
        <v>4391.16</v>
      </c>
      <c r="N347" s="8">
        <v>5031.3100000000004</v>
      </c>
      <c r="O347" t="s">
        <v>19</v>
      </c>
      <c r="P347" t="str">
        <f>UPPER(TRIM(SalesData[[#This Row],[Payment Mode]]))</f>
        <v>CASH</v>
      </c>
    </row>
    <row r="348" spans="1:16" x14ac:dyDescent="0.35">
      <c r="A348" s="4" t="s">
        <v>422</v>
      </c>
      <c r="B348" s="6">
        <v>45919</v>
      </c>
      <c r="C348" t="s">
        <v>89</v>
      </c>
      <c r="D348" t="str">
        <f>TRIM(SalesData[[#This Row],[Customer Name]])</f>
        <v>Kunal Thakur</v>
      </c>
      <c r="E348" t="s">
        <v>28</v>
      </c>
      <c r="F348" t="s">
        <v>23</v>
      </c>
      <c r="G348" t="s">
        <v>75</v>
      </c>
      <c r="H348" t="s">
        <v>18</v>
      </c>
      <c r="I348" s="10">
        <v>2</v>
      </c>
      <c r="J348" s="12">
        <v>0.05</v>
      </c>
      <c r="K348" s="8">
        <v>16259.38</v>
      </c>
      <c r="L348">
        <v>30892.82</v>
      </c>
      <c r="M348" s="8">
        <v>18078.8</v>
      </c>
      <c r="N348" s="8">
        <v>12814.02</v>
      </c>
      <c r="O348" t="s">
        <v>19</v>
      </c>
      <c r="P348" t="str">
        <f>UPPER(TRIM(SalesData[[#This Row],[Payment Mode]]))</f>
        <v>CASH</v>
      </c>
    </row>
    <row r="349" spans="1:16" x14ac:dyDescent="0.35">
      <c r="A349" s="4" t="s">
        <v>423</v>
      </c>
      <c r="B349" s="6">
        <v>45919</v>
      </c>
      <c r="C349" t="s">
        <v>93</v>
      </c>
      <c r="D349" t="str">
        <f>TRIM(SalesData[[#This Row],[Customer Name]])</f>
        <v>Aditya Joshi</v>
      </c>
      <c r="E349" t="s">
        <v>105</v>
      </c>
      <c r="F349" t="s">
        <v>106</v>
      </c>
      <c r="G349" t="s">
        <v>101</v>
      </c>
      <c r="H349" t="s">
        <v>18</v>
      </c>
      <c r="I349" s="10">
        <v>2</v>
      </c>
      <c r="J349" s="12">
        <v>0</v>
      </c>
      <c r="K349" s="8">
        <v>17166.12</v>
      </c>
      <c r="L349">
        <v>34332.239999999998</v>
      </c>
      <c r="M349" s="8">
        <v>16731.64</v>
      </c>
      <c r="N349" s="8">
        <v>17600.599999999999</v>
      </c>
      <c r="O349" t="s">
        <v>26</v>
      </c>
      <c r="P349" t="str">
        <f>UPPER(TRIM(SalesData[[#This Row],[Payment Mode]]))</f>
        <v>NET BANKING</v>
      </c>
    </row>
    <row r="350" spans="1:16" x14ac:dyDescent="0.35">
      <c r="A350" s="4" t="s">
        <v>424</v>
      </c>
      <c r="B350" s="6">
        <v>45920</v>
      </c>
      <c r="C350" t="s">
        <v>168</v>
      </c>
      <c r="D350" t="str">
        <f>TRIM(SalesData[[#This Row],[Customer Name]])</f>
        <v>Kavita Singh</v>
      </c>
      <c r="E350" t="s">
        <v>16</v>
      </c>
      <c r="F350" t="s">
        <v>16</v>
      </c>
      <c r="G350" t="s">
        <v>60</v>
      </c>
      <c r="H350" t="s">
        <v>36</v>
      </c>
      <c r="I350" s="10">
        <v>2</v>
      </c>
      <c r="J350" s="12">
        <v>0</v>
      </c>
      <c r="K350" s="8">
        <v>3666.85</v>
      </c>
      <c r="L350">
        <v>7333.7</v>
      </c>
      <c r="M350" s="8">
        <v>2477.56</v>
      </c>
      <c r="N350" s="8">
        <v>4856.1400000000003</v>
      </c>
      <c r="O350" t="s">
        <v>48</v>
      </c>
      <c r="P350" t="str">
        <f>UPPER(TRIM(SalesData[[#This Row],[Payment Mode]]))</f>
        <v>CREDIT CARD</v>
      </c>
    </row>
    <row r="351" spans="1:16" x14ac:dyDescent="0.35">
      <c r="A351" s="4" t="s">
        <v>425</v>
      </c>
      <c r="B351" s="6">
        <v>45920</v>
      </c>
      <c r="C351" t="s">
        <v>72</v>
      </c>
      <c r="D351" t="str">
        <f>TRIM(SalesData[[#This Row],[Customer Name]])</f>
        <v>Riya Shah</v>
      </c>
      <c r="E351" t="s">
        <v>31</v>
      </c>
      <c r="F351" t="s">
        <v>23</v>
      </c>
      <c r="G351" t="s">
        <v>41</v>
      </c>
      <c r="H351" t="s">
        <v>42</v>
      </c>
      <c r="I351" s="10">
        <v>5</v>
      </c>
      <c r="J351" s="12">
        <v>0.05</v>
      </c>
      <c r="K351" s="8">
        <v>1799.42</v>
      </c>
      <c r="L351">
        <v>8547.25</v>
      </c>
      <c r="M351" s="8">
        <v>3670.7</v>
      </c>
      <c r="N351" s="8">
        <v>4876.55</v>
      </c>
      <c r="O351" t="s">
        <v>37</v>
      </c>
      <c r="P351" t="str">
        <f>UPPER(TRIM(SalesData[[#This Row],[Payment Mode]]))</f>
        <v>DEBIT CARD</v>
      </c>
    </row>
    <row r="352" spans="1:16" x14ac:dyDescent="0.35">
      <c r="A352" s="4" t="s">
        <v>426</v>
      </c>
      <c r="B352" s="6">
        <v>45921</v>
      </c>
      <c r="C352" t="s">
        <v>45</v>
      </c>
      <c r="D352" t="str">
        <f>TRIM(SalesData[[#This Row],[Customer Name]])</f>
        <v>Nikhil Gupta</v>
      </c>
      <c r="E352" t="s">
        <v>73</v>
      </c>
      <c r="F352" t="s">
        <v>74</v>
      </c>
      <c r="G352" t="s">
        <v>75</v>
      </c>
      <c r="H352" t="s">
        <v>18</v>
      </c>
      <c r="I352" s="10">
        <v>4</v>
      </c>
      <c r="J352" s="12">
        <v>0</v>
      </c>
      <c r="K352" s="8">
        <v>16305.94</v>
      </c>
      <c r="L352">
        <v>65223.76</v>
      </c>
      <c r="M352" s="8">
        <v>36370.959999999999</v>
      </c>
      <c r="N352" s="8">
        <v>28852.799999999999</v>
      </c>
      <c r="O352" t="s">
        <v>26</v>
      </c>
      <c r="P352" t="str">
        <f>UPPER(TRIM(SalesData[[#This Row],[Payment Mode]]))</f>
        <v>NET BANKING</v>
      </c>
    </row>
    <row r="353" spans="1:16" x14ac:dyDescent="0.35">
      <c r="A353" s="4" t="s">
        <v>427</v>
      </c>
      <c r="B353" s="6">
        <v>45923</v>
      </c>
      <c r="C353" t="s">
        <v>50</v>
      </c>
      <c r="D353" t="str">
        <f>TRIM(SalesData[[#This Row],[Customer Name]])</f>
        <v>Priya Patil</v>
      </c>
      <c r="E353" t="s">
        <v>31</v>
      </c>
      <c r="F353" t="s">
        <v>23</v>
      </c>
      <c r="G353" t="s">
        <v>101</v>
      </c>
      <c r="H353" t="s">
        <v>18</v>
      </c>
      <c r="I353" s="10">
        <v>2</v>
      </c>
      <c r="J353" s="12">
        <v>0.05</v>
      </c>
      <c r="K353" s="8">
        <v>17373.64</v>
      </c>
      <c r="L353">
        <v>33009.919999999998</v>
      </c>
      <c r="M353" s="8">
        <v>15298.16</v>
      </c>
      <c r="N353" s="8">
        <v>17711.759999999998</v>
      </c>
      <c r="O353" t="s">
        <v>37</v>
      </c>
      <c r="P353" t="str">
        <f>UPPER(TRIM(SalesData[[#This Row],[Payment Mode]]))</f>
        <v>DEBIT CARD</v>
      </c>
    </row>
    <row r="354" spans="1:16" x14ac:dyDescent="0.35">
      <c r="A354" s="4" t="s">
        <v>428</v>
      </c>
      <c r="B354" s="6">
        <v>45923</v>
      </c>
      <c r="C354" t="s">
        <v>85</v>
      </c>
      <c r="D354" t="str">
        <f>TRIM(SalesData[[#This Row],[Customer Name]])</f>
        <v>Amit Verma</v>
      </c>
      <c r="E354" t="s">
        <v>53</v>
      </c>
      <c r="F354" t="s">
        <v>54</v>
      </c>
      <c r="G354" t="s">
        <v>32</v>
      </c>
      <c r="H354" t="s">
        <v>18</v>
      </c>
      <c r="I354" s="10">
        <v>2</v>
      </c>
      <c r="J354" s="12">
        <v>0.1</v>
      </c>
      <c r="K354" s="8">
        <v>53962.25</v>
      </c>
      <c r="L354">
        <v>97132.05</v>
      </c>
      <c r="M354" s="8">
        <v>87984.72</v>
      </c>
      <c r="N354" s="8">
        <v>9147.33</v>
      </c>
      <c r="O354" t="s">
        <v>43</v>
      </c>
      <c r="P354" t="str">
        <f>UPPER(TRIM(SalesData[[#This Row],[Payment Mode]]))</f>
        <v>UPI</v>
      </c>
    </row>
    <row r="355" spans="1:16" x14ac:dyDescent="0.35">
      <c r="A355" s="4" t="s">
        <v>429</v>
      </c>
      <c r="B355" s="6">
        <v>45923</v>
      </c>
      <c r="C355" t="s">
        <v>95</v>
      </c>
      <c r="D355" t="str">
        <f>TRIM(SalesData[[#This Row],[Customer Name]])</f>
        <v>Rahul Pawar</v>
      </c>
      <c r="E355" t="s">
        <v>73</v>
      </c>
      <c r="F355" t="s">
        <v>74</v>
      </c>
      <c r="G355" t="s">
        <v>32</v>
      </c>
      <c r="H355" t="s">
        <v>18</v>
      </c>
      <c r="I355" s="10">
        <v>5</v>
      </c>
      <c r="J355" s="12">
        <v>0</v>
      </c>
      <c r="K355" s="8">
        <v>51894.86</v>
      </c>
      <c r="L355">
        <v>259474.3</v>
      </c>
      <c r="M355" s="8">
        <v>211695.9</v>
      </c>
      <c r="N355" s="8">
        <v>47778.400000000001</v>
      </c>
      <c r="O355" t="s">
        <v>19</v>
      </c>
      <c r="P355" t="str">
        <f>UPPER(TRIM(SalesData[[#This Row],[Payment Mode]]))</f>
        <v>CASH</v>
      </c>
    </row>
    <row r="356" spans="1:16" x14ac:dyDescent="0.35">
      <c r="A356" s="4" t="s">
        <v>430</v>
      </c>
      <c r="B356" s="6">
        <v>45924</v>
      </c>
      <c r="C356" t="s">
        <v>56</v>
      </c>
      <c r="D356" t="str">
        <f>TRIM(SalesData[[#This Row],[Customer Name]])</f>
        <v>Pooja Shinde</v>
      </c>
      <c r="E356" t="s">
        <v>40</v>
      </c>
      <c r="F356" t="s">
        <v>23</v>
      </c>
      <c r="G356" t="s">
        <v>47</v>
      </c>
      <c r="H356" t="s">
        <v>25</v>
      </c>
      <c r="I356" s="10">
        <v>3</v>
      </c>
      <c r="J356" s="12">
        <v>0</v>
      </c>
      <c r="K356" s="8">
        <v>5754.2</v>
      </c>
      <c r="L356">
        <v>17262.599999999999</v>
      </c>
      <c r="M356" s="8">
        <v>7703.25</v>
      </c>
      <c r="N356" s="8">
        <v>9559.35</v>
      </c>
      <c r="O356" t="s">
        <v>37</v>
      </c>
      <c r="P356" t="str">
        <f>UPPER(TRIM(SalesData[[#This Row],[Payment Mode]]))</f>
        <v>DEBIT CARD</v>
      </c>
    </row>
    <row r="357" spans="1:16" x14ac:dyDescent="0.35">
      <c r="A357" s="4" t="s">
        <v>431</v>
      </c>
      <c r="B357" s="6">
        <v>45925</v>
      </c>
      <c r="C357" t="s">
        <v>21</v>
      </c>
      <c r="D357" t="str">
        <f>TRIM(SalesData[[#This Row],[Customer Name]])</f>
        <v>Aarav Sharma</v>
      </c>
      <c r="E357" t="s">
        <v>22</v>
      </c>
      <c r="F357" t="s">
        <v>23</v>
      </c>
      <c r="G357" t="s">
        <v>77</v>
      </c>
      <c r="H357" t="s">
        <v>25</v>
      </c>
      <c r="I357" s="10">
        <v>2</v>
      </c>
      <c r="J357" s="12">
        <v>0.05</v>
      </c>
      <c r="K357" s="8">
        <v>7482.16</v>
      </c>
      <c r="L357">
        <v>14216.1</v>
      </c>
      <c r="M357" s="8">
        <v>7231.96</v>
      </c>
      <c r="N357" s="8">
        <v>6984.14</v>
      </c>
      <c r="O357" t="s">
        <v>19</v>
      </c>
      <c r="P357" t="str">
        <f>UPPER(TRIM(SalesData[[#This Row],[Payment Mode]]))</f>
        <v>CASH</v>
      </c>
    </row>
    <row r="358" spans="1:16" x14ac:dyDescent="0.35">
      <c r="A358" s="4" t="s">
        <v>432</v>
      </c>
      <c r="B358" s="6">
        <v>45926</v>
      </c>
      <c r="C358" t="s">
        <v>95</v>
      </c>
      <c r="D358" t="str">
        <f>TRIM(SalesData[[#This Row],[Customer Name]])</f>
        <v>Rahul Pawar</v>
      </c>
      <c r="E358" t="s">
        <v>16</v>
      </c>
      <c r="F358" t="s">
        <v>16</v>
      </c>
      <c r="G358" t="s">
        <v>101</v>
      </c>
      <c r="H358" t="s">
        <v>18</v>
      </c>
      <c r="I358" s="10">
        <v>5</v>
      </c>
      <c r="J358" s="12">
        <v>0.1</v>
      </c>
      <c r="K358" s="8">
        <v>18197.89</v>
      </c>
      <c r="L358">
        <v>81890.5</v>
      </c>
      <c r="M358" s="8">
        <v>41698.1</v>
      </c>
      <c r="N358" s="8">
        <v>40192.400000000001</v>
      </c>
      <c r="O358" t="s">
        <v>26</v>
      </c>
      <c r="P358" t="str">
        <f>UPPER(TRIM(SalesData[[#This Row],[Payment Mode]]))</f>
        <v>NET BANKING</v>
      </c>
    </row>
    <row r="359" spans="1:16" x14ac:dyDescent="0.35">
      <c r="A359" s="4" t="s">
        <v>433</v>
      </c>
      <c r="B359" s="6">
        <v>45926</v>
      </c>
      <c r="C359" t="s">
        <v>85</v>
      </c>
      <c r="D359" t="str">
        <f>TRIM(SalesData[[#This Row],[Customer Name]])</f>
        <v>Amit Verma</v>
      </c>
      <c r="E359" t="s">
        <v>86</v>
      </c>
      <c r="F359" t="s">
        <v>87</v>
      </c>
      <c r="G359" t="s">
        <v>17</v>
      </c>
      <c r="H359" t="s">
        <v>18</v>
      </c>
      <c r="I359" s="10">
        <v>4</v>
      </c>
      <c r="J359" s="12">
        <v>0.1</v>
      </c>
      <c r="K359" s="8">
        <v>12049.98</v>
      </c>
      <c r="L359">
        <v>43379.93</v>
      </c>
      <c r="M359" s="8">
        <v>26671.48</v>
      </c>
      <c r="N359" s="8">
        <v>16708.45</v>
      </c>
      <c r="O359" t="s">
        <v>37</v>
      </c>
      <c r="P359" t="str">
        <f>UPPER(TRIM(SalesData[[#This Row],[Payment Mode]]))</f>
        <v>DEBIT CARD</v>
      </c>
    </row>
    <row r="360" spans="1:16" x14ac:dyDescent="0.35">
      <c r="A360" s="4" t="s">
        <v>434</v>
      </c>
      <c r="B360" s="6">
        <v>45927</v>
      </c>
      <c r="C360" t="s">
        <v>116</v>
      </c>
      <c r="D360" t="str">
        <f>TRIM(SalesData[[#This Row],[Customer Name]])</f>
        <v>Sneha Kulkarni</v>
      </c>
      <c r="E360" t="s">
        <v>86</v>
      </c>
      <c r="F360" t="s">
        <v>87</v>
      </c>
      <c r="G360" t="s">
        <v>32</v>
      </c>
      <c r="H360" t="s">
        <v>18</v>
      </c>
      <c r="I360" s="10">
        <v>1</v>
      </c>
      <c r="J360" s="12">
        <v>0</v>
      </c>
      <c r="K360" s="8">
        <v>52352.18</v>
      </c>
      <c r="L360">
        <v>52352.18</v>
      </c>
      <c r="M360" s="8">
        <v>42333.120000000003</v>
      </c>
      <c r="N360" s="8">
        <v>10019.06</v>
      </c>
      <c r="O360" t="s">
        <v>19</v>
      </c>
      <c r="P360" t="str">
        <f>UPPER(TRIM(SalesData[[#This Row],[Payment Mode]]))</f>
        <v>CASH</v>
      </c>
    </row>
    <row r="361" spans="1:16" x14ac:dyDescent="0.35">
      <c r="A361" s="4" t="s">
        <v>435</v>
      </c>
      <c r="B361" s="6">
        <v>45927</v>
      </c>
      <c r="C361" t="s">
        <v>50</v>
      </c>
      <c r="D361" t="str">
        <f>TRIM(SalesData[[#This Row],[Customer Name]])</f>
        <v>Priya Patil</v>
      </c>
      <c r="E361" t="s">
        <v>28</v>
      </c>
      <c r="F361" t="s">
        <v>23</v>
      </c>
      <c r="G361" t="s">
        <v>32</v>
      </c>
      <c r="H361" t="s">
        <v>18</v>
      </c>
      <c r="I361" s="10">
        <v>3</v>
      </c>
      <c r="J361" s="12">
        <v>0.1</v>
      </c>
      <c r="K361" s="8">
        <v>50046.79</v>
      </c>
      <c r="L361">
        <v>135126.32999999999</v>
      </c>
      <c r="M361" s="8">
        <v>129749.1</v>
      </c>
      <c r="N361" s="8">
        <v>5377.23</v>
      </c>
      <c r="O361" t="s">
        <v>26</v>
      </c>
      <c r="P361" t="str">
        <f>UPPER(TRIM(SalesData[[#This Row],[Payment Mode]]))</f>
        <v>NET BANKING</v>
      </c>
    </row>
    <row r="362" spans="1:16" x14ac:dyDescent="0.35">
      <c r="A362" s="4" t="s">
        <v>436</v>
      </c>
      <c r="B362" s="6">
        <v>45928</v>
      </c>
      <c r="C362" t="s">
        <v>59</v>
      </c>
      <c r="D362" t="str">
        <f>TRIM(SalesData[[#This Row],[Customer Name]])</f>
        <v>Rohan Deshmukh</v>
      </c>
      <c r="E362" t="s">
        <v>28</v>
      </c>
      <c r="F362" t="s">
        <v>23</v>
      </c>
      <c r="G362" t="s">
        <v>75</v>
      </c>
      <c r="H362" t="s">
        <v>18</v>
      </c>
      <c r="I362" s="10">
        <v>3</v>
      </c>
      <c r="J362" s="12">
        <v>0</v>
      </c>
      <c r="K362" s="8">
        <v>15383.68</v>
      </c>
      <c r="L362">
        <v>46151.040000000001</v>
      </c>
      <c r="M362" s="8">
        <v>28192.14</v>
      </c>
      <c r="N362" s="8">
        <v>17958.900000000001</v>
      </c>
      <c r="O362" t="s">
        <v>19</v>
      </c>
      <c r="P362" t="str">
        <f>UPPER(TRIM(SalesData[[#This Row],[Payment Mode]]))</f>
        <v>CASH</v>
      </c>
    </row>
    <row r="363" spans="1:16" x14ac:dyDescent="0.35">
      <c r="A363" s="4" t="s">
        <v>437</v>
      </c>
      <c r="B363" s="6">
        <v>45928</v>
      </c>
      <c r="C363" t="s">
        <v>95</v>
      </c>
      <c r="D363" t="str">
        <f>TRIM(SalesData[[#This Row],[Customer Name]])</f>
        <v>Rahul Pawar</v>
      </c>
      <c r="E363" t="s">
        <v>105</v>
      </c>
      <c r="F363" t="s">
        <v>106</v>
      </c>
      <c r="G363" t="s">
        <v>41</v>
      </c>
      <c r="H363" t="s">
        <v>42</v>
      </c>
      <c r="I363" s="10">
        <v>3</v>
      </c>
      <c r="J363" s="12">
        <v>0</v>
      </c>
      <c r="K363" s="8">
        <v>1877.93</v>
      </c>
      <c r="L363">
        <v>5633.79</v>
      </c>
      <c r="M363" s="8">
        <v>2168.79</v>
      </c>
      <c r="N363" s="8">
        <v>3465</v>
      </c>
      <c r="O363" t="s">
        <v>37</v>
      </c>
      <c r="P363" t="str">
        <f>UPPER(TRIM(SalesData[[#This Row],[Payment Mode]]))</f>
        <v>DEBIT CARD</v>
      </c>
    </row>
    <row r="364" spans="1:16" x14ac:dyDescent="0.35">
      <c r="A364" s="4" t="s">
        <v>438</v>
      </c>
      <c r="B364" s="6">
        <v>45928</v>
      </c>
      <c r="C364" t="s">
        <v>59</v>
      </c>
      <c r="D364" t="str">
        <f>TRIM(SalesData[[#This Row],[Customer Name]])</f>
        <v>Rohan Deshmukh</v>
      </c>
      <c r="E364" t="s">
        <v>31</v>
      </c>
      <c r="F364" t="s">
        <v>23</v>
      </c>
      <c r="G364" t="s">
        <v>47</v>
      </c>
      <c r="H364" t="s">
        <v>25</v>
      </c>
      <c r="I364" s="10">
        <v>3</v>
      </c>
      <c r="J364" s="12">
        <v>0</v>
      </c>
      <c r="K364" s="8">
        <v>6018.95</v>
      </c>
      <c r="L364">
        <v>18056.849999999999</v>
      </c>
      <c r="M364" s="8">
        <v>7507.92</v>
      </c>
      <c r="N364" s="8">
        <v>10548.93</v>
      </c>
      <c r="O364" t="s">
        <v>37</v>
      </c>
      <c r="P364" t="str">
        <f>UPPER(TRIM(SalesData[[#This Row],[Payment Mode]]))</f>
        <v>DEBIT CARD</v>
      </c>
    </row>
    <row r="365" spans="1:16" x14ac:dyDescent="0.35">
      <c r="A365" s="4" t="s">
        <v>439</v>
      </c>
      <c r="B365" s="6">
        <v>45929</v>
      </c>
      <c r="C365" t="s">
        <v>168</v>
      </c>
      <c r="D365" t="str">
        <f>TRIM(SalesData[[#This Row],[Customer Name]])</f>
        <v>Kavita Singh</v>
      </c>
      <c r="E365" t="s">
        <v>28</v>
      </c>
      <c r="F365" t="s">
        <v>23</v>
      </c>
      <c r="G365" t="s">
        <v>107</v>
      </c>
      <c r="H365" t="s">
        <v>36</v>
      </c>
      <c r="I365" s="10">
        <v>4</v>
      </c>
      <c r="J365" s="12">
        <v>0.05</v>
      </c>
      <c r="K365" s="8">
        <v>1726.04</v>
      </c>
      <c r="L365">
        <v>6558.95</v>
      </c>
      <c r="M365" s="8">
        <v>2461.2800000000002</v>
      </c>
      <c r="N365" s="8">
        <v>4097.67</v>
      </c>
      <c r="O365" t="s">
        <v>19</v>
      </c>
      <c r="P365" t="str">
        <f>UPPER(TRIM(SalesData[[#This Row],[Payment Mode]]))</f>
        <v>CASH</v>
      </c>
    </row>
    <row r="366" spans="1:16" x14ac:dyDescent="0.35">
      <c r="A366" s="4" t="s">
        <v>440</v>
      </c>
      <c r="B366" s="6">
        <v>45929</v>
      </c>
      <c r="C366" t="s">
        <v>50</v>
      </c>
      <c r="D366" t="str">
        <f>TRIM(SalesData[[#This Row],[Customer Name]])</f>
        <v>Priya Patil</v>
      </c>
      <c r="E366" t="s">
        <v>83</v>
      </c>
      <c r="F366" t="s">
        <v>23</v>
      </c>
      <c r="G366" t="s">
        <v>107</v>
      </c>
      <c r="H366" t="s">
        <v>36</v>
      </c>
      <c r="I366" s="10">
        <v>4</v>
      </c>
      <c r="J366" s="12">
        <v>0.05</v>
      </c>
      <c r="K366" s="8">
        <v>1886.24</v>
      </c>
      <c r="L366">
        <v>7167.71</v>
      </c>
      <c r="M366" s="8">
        <v>2432.1999999999998</v>
      </c>
      <c r="N366" s="8">
        <v>4735.51</v>
      </c>
      <c r="O366" t="s">
        <v>48</v>
      </c>
      <c r="P366" t="str">
        <f>UPPER(TRIM(SalesData[[#This Row],[Payment Mode]]))</f>
        <v>CREDIT CARD</v>
      </c>
    </row>
    <row r="367" spans="1:16" x14ac:dyDescent="0.35">
      <c r="A367" s="4" t="s">
        <v>441</v>
      </c>
      <c r="B367" s="6">
        <v>45930</v>
      </c>
      <c r="C367" t="s">
        <v>56</v>
      </c>
      <c r="D367" t="str">
        <f>TRIM(SalesData[[#This Row],[Customer Name]])</f>
        <v>Pooja Shinde</v>
      </c>
      <c r="E367" t="s">
        <v>28</v>
      </c>
      <c r="F367" t="s">
        <v>23</v>
      </c>
      <c r="G367" t="s">
        <v>65</v>
      </c>
      <c r="H367" t="s">
        <v>18</v>
      </c>
      <c r="I367" s="10">
        <v>1</v>
      </c>
      <c r="J367" s="12">
        <v>0.05</v>
      </c>
      <c r="K367" s="8">
        <v>22550.58</v>
      </c>
      <c r="L367">
        <v>21423.05</v>
      </c>
      <c r="M367" s="8">
        <v>13512.87</v>
      </c>
      <c r="N367" s="8">
        <v>7910.18</v>
      </c>
      <c r="O367" t="s">
        <v>48</v>
      </c>
      <c r="P367" t="str">
        <f>UPPER(TRIM(SalesData[[#This Row],[Payment Mode]]))</f>
        <v>CREDIT CARD</v>
      </c>
    </row>
    <row r="368" spans="1:16" x14ac:dyDescent="0.35">
      <c r="A368" s="4" t="s">
        <v>442</v>
      </c>
      <c r="B368" s="6">
        <v>45930</v>
      </c>
      <c r="C368" t="s">
        <v>95</v>
      </c>
      <c r="D368" t="str">
        <f>TRIM(SalesData[[#This Row],[Customer Name]])</f>
        <v>Rahul Pawar</v>
      </c>
      <c r="E368" t="s">
        <v>83</v>
      </c>
      <c r="F368" t="s">
        <v>23</v>
      </c>
      <c r="G368" t="s">
        <v>35</v>
      </c>
      <c r="H368" t="s">
        <v>36</v>
      </c>
      <c r="I368" s="10">
        <v>5</v>
      </c>
      <c r="J368" s="12">
        <v>0</v>
      </c>
      <c r="K368" s="8">
        <v>1160.03</v>
      </c>
      <c r="L368">
        <v>5800.15</v>
      </c>
      <c r="M368" s="8">
        <v>1694.25</v>
      </c>
      <c r="N368" s="8">
        <v>4105.8999999999996</v>
      </c>
      <c r="O368" t="s">
        <v>19</v>
      </c>
      <c r="P368" t="str">
        <f>UPPER(TRIM(SalesData[[#This Row],[Payment Mode]]))</f>
        <v>CASH</v>
      </c>
    </row>
    <row r="369" spans="1:16" x14ac:dyDescent="0.35">
      <c r="A369" s="4" t="s">
        <v>443</v>
      </c>
      <c r="B369" s="6">
        <v>45931</v>
      </c>
      <c r="C369" t="s">
        <v>64</v>
      </c>
      <c r="D369" t="str">
        <f>TRIM(SalesData[[#This Row],[Customer Name]])</f>
        <v>Neha Jadhav</v>
      </c>
      <c r="E369" t="s">
        <v>86</v>
      </c>
      <c r="F369" t="s">
        <v>87</v>
      </c>
      <c r="G369" t="s">
        <v>47</v>
      </c>
      <c r="H369" t="s">
        <v>25</v>
      </c>
      <c r="I369" s="10">
        <v>1</v>
      </c>
      <c r="J369" s="12">
        <v>0</v>
      </c>
      <c r="K369" s="8">
        <v>5700.08</v>
      </c>
      <c r="L369">
        <v>5700.08</v>
      </c>
      <c r="M369" s="8">
        <v>2502.7800000000002</v>
      </c>
      <c r="N369" s="8">
        <v>3197.3</v>
      </c>
      <c r="O369" t="s">
        <v>43</v>
      </c>
      <c r="P369" t="str">
        <f>UPPER(TRIM(SalesData[[#This Row],[Payment Mode]]))</f>
        <v>UPI</v>
      </c>
    </row>
    <row r="370" spans="1:16" x14ac:dyDescent="0.35">
      <c r="A370" s="4" t="s">
        <v>444</v>
      </c>
      <c r="B370" s="6">
        <v>45932</v>
      </c>
      <c r="C370" t="s">
        <v>50</v>
      </c>
      <c r="D370" t="str">
        <f>TRIM(SalesData[[#This Row],[Customer Name]])</f>
        <v>Priya Patil</v>
      </c>
      <c r="E370" t="s">
        <v>46</v>
      </c>
      <c r="F370" t="s">
        <v>23</v>
      </c>
      <c r="G370" t="s">
        <v>47</v>
      </c>
      <c r="H370" t="s">
        <v>25</v>
      </c>
      <c r="I370" s="10">
        <v>1</v>
      </c>
      <c r="J370" s="12">
        <v>0.05</v>
      </c>
      <c r="K370" s="8">
        <v>5928.04</v>
      </c>
      <c r="L370">
        <v>5631.64</v>
      </c>
      <c r="M370" s="8">
        <v>2424.29</v>
      </c>
      <c r="N370" s="8">
        <v>3207.35</v>
      </c>
      <c r="O370" t="s">
        <v>26</v>
      </c>
      <c r="P370" t="str">
        <f>UPPER(TRIM(SalesData[[#This Row],[Payment Mode]]))</f>
        <v>NET BANKING</v>
      </c>
    </row>
    <row r="371" spans="1:16" x14ac:dyDescent="0.35">
      <c r="A371" s="4" t="s">
        <v>445</v>
      </c>
      <c r="B371" s="6">
        <v>45933</v>
      </c>
      <c r="C371" t="s">
        <v>89</v>
      </c>
      <c r="D371" t="str">
        <f>TRIM(SalesData[[#This Row],[Customer Name]])</f>
        <v>Kunal Thakur</v>
      </c>
      <c r="E371" t="s">
        <v>46</v>
      </c>
      <c r="F371" t="s">
        <v>23</v>
      </c>
      <c r="G371" t="s">
        <v>75</v>
      </c>
      <c r="H371" t="s">
        <v>18</v>
      </c>
      <c r="I371" s="10">
        <v>2</v>
      </c>
      <c r="J371" s="12">
        <v>0</v>
      </c>
      <c r="K371" s="8">
        <v>15472.93</v>
      </c>
      <c r="L371">
        <v>30945.86</v>
      </c>
      <c r="M371" s="8">
        <v>18806.599999999999</v>
      </c>
      <c r="N371" s="8">
        <v>12139.26</v>
      </c>
      <c r="O371" t="s">
        <v>19</v>
      </c>
      <c r="P371" t="str">
        <f>UPPER(TRIM(SalesData[[#This Row],[Payment Mode]]))</f>
        <v>CASH</v>
      </c>
    </row>
    <row r="372" spans="1:16" x14ac:dyDescent="0.35">
      <c r="A372" s="4" t="s">
        <v>446</v>
      </c>
      <c r="B372" s="6">
        <v>45934</v>
      </c>
      <c r="C372" t="s">
        <v>89</v>
      </c>
      <c r="D372" t="str">
        <f>TRIM(SalesData[[#This Row],[Customer Name]])</f>
        <v>Kunal Thakur</v>
      </c>
      <c r="E372" t="s">
        <v>105</v>
      </c>
      <c r="F372" t="s">
        <v>106</v>
      </c>
      <c r="G372" t="s">
        <v>35</v>
      </c>
      <c r="H372" t="s">
        <v>36</v>
      </c>
      <c r="I372" s="10">
        <v>1</v>
      </c>
      <c r="J372" s="12">
        <v>0</v>
      </c>
      <c r="K372" s="8">
        <v>1150.45</v>
      </c>
      <c r="L372">
        <v>1150.45</v>
      </c>
      <c r="M372" s="8">
        <v>354.1</v>
      </c>
      <c r="N372" s="8">
        <v>796.35</v>
      </c>
      <c r="O372" t="s">
        <v>37</v>
      </c>
      <c r="P372" t="str">
        <f>UPPER(TRIM(SalesData[[#This Row],[Payment Mode]]))</f>
        <v>DEBIT CARD</v>
      </c>
    </row>
    <row r="373" spans="1:16" x14ac:dyDescent="0.35">
      <c r="A373" s="4" t="s">
        <v>447</v>
      </c>
      <c r="B373" s="6">
        <v>45934</v>
      </c>
      <c r="C373" t="s">
        <v>15</v>
      </c>
      <c r="D373" t="str">
        <f>TRIM(SalesData[[#This Row],[Customer Name]])</f>
        <v>Isha Bhosale</v>
      </c>
      <c r="E373" t="s">
        <v>53</v>
      </c>
      <c r="F373" t="s">
        <v>54</v>
      </c>
      <c r="G373" t="s">
        <v>101</v>
      </c>
      <c r="H373" t="s">
        <v>18</v>
      </c>
      <c r="I373" s="10">
        <v>2</v>
      </c>
      <c r="J373" s="12">
        <v>0.15</v>
      </c>
      <c r="K373" s="8">
        <v>18529.18</v>
      </c>
      <c r="L373">
        <v>31499.61</v>
      </c>
      <c r="M373" s="8">
        <v>15995.6</v>
      </c>
      <c r="N373" s="8">
        <v>15504.01</v>
      </c>
      <c r="O373" t="s">
        <v>48</v>
      </c>
      <c r="P373" t="str">
        <f>UPPER(TRIM(SalesData[[#This Row],[Payment Mode]]))</f>
        <v>CREDIT CARD</v>
      </c>
    </row>
    <row r="374" spans="1:16" x14ac:dyDescent="0.35">
      <c r="A374" s="4" t="s">
        <v>448</v>
      </c>
      <c r="B374" s="6">
        <v>45934</v>
      </c>
      <c r="C374" t="s">
        <v>34</v>
      </c>
      <c r="D374" t="str">
        <f>TRIM(SalesData[[#This Row],[Customer Name]])</f>
        <v>Meera Desai</v>
      </c>
      <c r="E374" t="s">
        <v>86</v>
      </c>
      <c r="F374" t="s">
        <v>87</v>
      </c>
      <c r="G374" t="s">
        <v>77</v>
      </c>
      <c r="H374" t="s">
        <v>25</v>
      </c>
      <c r="I374" s="10">
        <v>1</v>
      </c>
      <c r="J374" s="12">
        <v>0.15</v>
      </c>
      <c r="K374" s="8">
        <v>7522.24</v>
      </c>
      <c r="L374">
        <v>6393.9</v>
      </c>
      <c r="M374" s="8">
        <v>3409.66</v>
      </c>
      <c r="N374" s="8">
        <v>2984.24</v>
      </c>
      <c r="O374" t="s">
        <v>26</v>
      </c>
      <c r="P374" t="str">
        <f>UPPER(TRIM(SalesData[[#This Row],[Payment Mode]]))</f>
        <v>NET BANKING</v>
      </c>
    </row>
    <row r="375" spans="1:16" x14ac:dyDescent="0.35">
      <c r="A375" s="4" t="s">
        <v>449</v>
      </c>
      <c r="B375" s="6">
        <v>45935</v>
      </c>
      <c r="C375" t="s">
        <v>93</v>
      </c>
      <c r="D375" t="str">
        <f>TRIM(SalesData[[#This Row],[Customer Name]])</f>
        <v>Aditya Joshi</v>
      </c>
      <c r="E375" t="s">
        <v>16</v>
      </c>
      <c r="F375" t="s">
        <v>16</v>
      </c>
      <c r="G375" t="s">
        <v>77</v>
      </c>
      <c r="H375" t="s">
        <v>25</v>
      </c>
      <c r="I375" s="10">
        <v>2</v>
      </c>
      <c r="J375" s="12">
        <v>0</v>
      </c>
      <c r="K375" s="8">
        <v>7761.03</v>
      </c>
      <c r="L375">
        <v>15522.06</v>
      </c>
      <c r="M375" s="8">
        <v>7160.2</v>
      </c>
      <c r="N375" s="8">
        <v>8361.86</v>
      </c>
      <c r="O375" t="s">
        <v>37</v>
      </c>
      <c r="P375" t="str">
        <f>UPPER(TRIM(SalesData[[#This Row],[Payment Mode]]))</f>
        <v>DEBIT CARD</v>
      </c>
    </row>
    <row r="376" spans="1:16" x14ac:dyDescent="0.35">
      <c r="A376" s="4" t="s">
        <v>450</v>
      </c>
      <c r="B376" s="6">
        <v>45935</v>
      </c>
      <c r="C376" t="s">
        <v>116</v>
      </c>
      <c r="D376" t="str">
        <f>TRIM(SalesData[[#This Row],[Customer Name]])</f>
        <v>Sneha Kulkarni</v>
      </c>
      <c r="E376" t="s">
        <v>40</v>
      </c>
      <c r="F376" t="s">
        <v>23</v>
      </c>
      <c r="G376" t="s">
        <v>24</v>
      </c>
      <c r="H376" t="s">
        <v>25</v>
      </c>
      <c r="I376" s="10">
        <v>2</v>
      </c>
      <c r="J376" s="12">
        <v>0</v>
      </c>
      <c r="K376" s="8">
        <v>9306.11</v>
      </c>
      <c r="L376">
        <v>18612.22</v>
      </c>
      <c r="M376" s="8">
        <v>8902.94</v>
      </c>
      <c r="N376" s="8">
        <v>9709.2800000000007</v>
      </c>
      <c r="O376" t="s">
        <v>19</v>
      </c>
      <c r="P376" t="str">
        <f>UPPER(TRIM(SalesData[[#This Row],[Payment Mode]]))</f>
        <v>CASH</v>
      </c>
    </row>
    <row r="377" spans="1:16" x14ac:dyDescent="0.35">
      <c r="A377" s="4" t="s">
        <v>451</v>
      </c>
      <c r="B377" s="6">
        <v>45935</v>
      </c>
      <c r="C377" t="s">
        <v>50</v>
      </c>
      <c r="D377" t="str">
        <f>TRIM(SalesData[[#This Row],[Customer Name]])</f>
        <v>Priya Patil</v>
      </c>
      <c r="E377" t="s">
        <v>105</v>
      </c>
      <c r="F377" t="s">
        <v>106</v>
      </c>
      <c r="G377" t="s">
        <v>107</v>
      </c>
      <c r="H377" t="s">
        <v>36</v>
      </c>
      <c r="I377" s="10">
        <v>2</v>
      </c>
      <c r="J377" s="12">
        <v>0.1</v>
      </c>
      <c r="K377" s="8">
        <v>1736.45</v>
      </c>
      <c r="L377">
        <v>3125.61</v>
      </c>
      <c r="M377" s="8">
        <v>1181.1199999999999</v>
      </c>
      <c r="N377" s="8">
        <v>1944.49</v>
      </c>
      <c r="O377" t="s">
        <v>37</v>
      </c>
      <c r="P377" t="str">
        <f>UPPER(TRIM(SalesData[[#This Row],[Payment Mode]]))</f>
        <v>DEBIT CARD</v>
      </c>
    </row>
    <row r="378" spans="1:16" x14ac:dyDescent="0.35">
      <c r="A378" s="4" t="s">
        <v>452</v>
      </c>
      <c r="B378" s="6">
        <v>45936</v>
      </c>
      <c r="C378" t="s">
        <v>30</v>
      </c>
      <c r="D378" t="str">
        <f>TRIM(SalesData[[#This Row],[Customer Name]])</f>
        <v>Swati Kale</v>
      </c>
      <c r="E378" t="s">
        <v>16</v>
      </c>
      <c r="F378" t="s">
        <v>16</v>
      </c>
      <c r="G378" t="s">
        <v>75</v>
      </c>
      <c r="H378" t="s">
        <v>18</v>
      </c>
      <c r="I378" s="10">
        <v>4</v>
      </c>
      <c r="J378" s="12">
        <v>0.1</v>
      </c>
      <c r="K378" s="8">
        <v>16383.47</v>
      </c>
      <c r="L378">
        <v>58980.49</v>
      </c>
      <c r="M378" s="8">
        <v>34888.519999999997</v>
      </c>
      <c r="N378" s="8">
        <v>24091.97</v>
      </c>
      <c r="O378" t="s">
        <v>43</v>
      </c>
      <c r="P378" t="str">
        <f>UPPER(TRIM(SalesData[[#This Row],[Payment Mode]]))</f>
        <v>UPI</v>
      </c>
    </row>
    <row r="379" spans="1:16" x14ac:dyDescent="0.35">
      <c r="A379" s="4" t="s">
        <v>453</v>
      </c>
      <c r="B379" s="6">
        <v>45936</v>
      </c>
      <c r="C379" t="s">
        <v>89</v>
      </c>
      <c r="D379" t="str">
        <f>TRIM(SalesData[[#This Row],[Customer Name]])</f>
        <v>Kunal Thakur</v>
      </c>
      <c r="E379" t="s">
        <v>73</v>
      </c>
      <c r="F379" t="s">
        <v>74</v>
      </c>
      <c r="G379" t="s">
        <v>35</v>
      </c>
      <c r="H379" t="s">
        <v>36</v>
      </c>
      <c r="I379" s="10">
        <v>4</v>
      </c>
      <c r="J379" s="12">
        <v>0.05</v>
      </c>
      <c r="K379" s="8">
        <v>1236.94</v>
      </c>
      <c r="L379">
        <v>4700.37</v>
      </c>
      <c r="M379" s="8">
        <v>1436.72</v>
      </c>
      <c r="N379" s="8">
        <v>3263.65</v>
      </c>
      <c r="O379" t="s">
        <v>26</v>
      </c>
      <c r="P379" t="str">
        <f>UPPER(TRIM(SalesData[[#This Row],[Payment Mode]]))</f>
        <v>NET BANKING</v>
      </c>
    </row>
    <row r="380" spans="1:16" x14ac:dyDescent="0.35">
      <c r="A380" s="4" t="s">
        <v>454</v>
      </c>
      <c r="B380" s="6">
        <v>45938</v>
      </c>
      <c r="C380" t="s">
        <v>62</v>
      </c>
      <c r="D380" t="str">
        <f>TRIM(SalesData[[#This Row],[Customer Name]])</f>
        <v>Vivek More</v>
      </c>
      <c r="E380" t="s">
        <v>28</v>
      </c>
      <c r="F380" t="s">
        <v>23</v>
      </c>
      <c r="G380" t="s">
        <v>107</v>
      </c>
      <c r="H380" t="s">
        <v>36</v>
      </c>
      <c r="I380" s="10">
        <v>3</v>
      </c>
      <c r="J380" s="12">
        <v>0.05</v>
      </c>
      <c r="K380" s="8">
        <v>1883.89</v>
      </c>
      <c r="L380">
        <v>5369.09</v>
      </c>
      <c r="M380" s="8">
        <v>1846.98</v>
      </c>
      <c r="N380" s="8">
        <v>3522.11</v>
      </c>
      <c r="O380" t="s">
        <v>26</v>
      </c>
      <c r="P380" t="str">
        <f>UPPER(TRIM(SalesData[[#This Row],[Payment Mode]]))</f>
        <v>NET BANKING</v>
      </c>
    </row>
    <row r="381" spans="1:16" x14ac:dyDescent="0.35">
      <c r="A381" s="4" t="s">
        <v>455</v>
      </c>
      <c r="B381" s="6">
        <v>45939</v>
      </c>
      <c r="C381" t="s">
        <v>85</v>
      </c>
      <c r="D381" t="str">
        <f>TRIM(SalesData[[#This Row],[Customer Name]])</f>
        <v>Amit Verma</v>
      </c>
      <c r="E381" t="s">
        <v>83</v>
      </c>
      <c r="F381" t="s">
        <v>23</v>
      </c>
      <c r="G381" t="s">
        <v>47</v>
      </c>
      <c r="H381" t="s">
        <v>25</v>
      </c>
      <c r="I381" s="10">
        <v>5</v>
      </c>
      <c r="J381" s="12">
        <v>0.05</v>
      </c>
      <c r="K381" s="8">
        <v>6084.69</v>
      </c>
      <c r="L381">
        <v>28902.28</v>
      </c>
      <c r="M381" s="8">
        <v>12742.45</v>
      </c>
      <c r="N381" s="8">
        <v>16159.83</v>
      </c>
      <c r="O381" t="s">
        <v>37</v>
      </c>
      <c r="P381" t="str">
        <f>UPPER(TRIM(SalesData[[#This Row],[Payment Mode]]))</f>
        <v>DEBIT CARD</v>
      </c>
    </row>
    <row r="382" spans="1:16" x14ac:dyDescent="0.35">
      <c r="A382" s="4" t="s">
        <v>456</v>
      </c>
      <c r="B382" s="6">
        <v>45939</v>
      </c>
      <c r="C382" t="s">
        <v>15</v>
      </c>
      <c r="D382" t="str">
        <f>TRIM(SalesData[[#This Row],[Customer Name]])</f>
        <v>Isha Bhosale</v>
      </c>
      <c r="E382" t="s">
        <v>73</v>
      </c>
      <c r="F382" t="s">
        <v>74</v>
      </c>
      <c r="G382" t="s">
        <v>41</v>
      </c>
      <c r="H382" t="s">
        <v>42</v>
      </c>
      <c r="I382" s="10">
        <v>2</v>
      </c>
      <c r="J382" s="12">
        <v>0</v>
      </c>
      <c r="K382" s="8">
        <v>1710.9</v>
      </c>
      <c r="L382">
        <v>3421.8</v>
      </c>
      <c r="M382" s="8">
        <v>1338.42</v>
      </c>
      <c r="N382" s="8">
        <v>2083.38</v>
      </c>
      <c r="O382" t="s">
        <v>48</v>
      </c>
      <c r="P382" t="str">
        <f>UPPER(TRIM(SalesData[[#This Row],[Payment Mode]]))</f>
        <v>CREDIT CARD</v>
      </c>
    </row>
    <row r="383" spans="1:16" x14ac:dyDescent="0.35">
      <c r="A383" s="4" t="s">
        <v>457</v>
      </c>
      <c r="B383" s="6">
        <v>45939</v>
      </c>
      <c r="C383" t="s">
        <v>30</v>
      </c>
      <c r="D383" t="str">
        <f>TRIM(SalesData[[#This Row],[Customer Name]])</f>
        <v>Swati Kale</v>
      </c>
      <c r="E383" t="s">
        <v>16</v>
      </c>
      <c r="F383" t="s">
        <v>16</v>
      </c>
      <c r="G383" t="s">
        <v>101</v>
      </c>
      <c r="H383" t="s">
        <v>18</v>
      </c>
      <c r="I383" s="10">
        <v>1</v>
      </c>
      <c r="J383" s="12">
        <v>0.05</v>
      </c>
      <c r="K383" s="8">
        <v>17834.61</v>
      </c>
      <c r="L383">
        <v>16942.88</v>
      </c>
      <c r="M383" s="8">
        <v>8308.5</v>
      </c>
      <c r="N383" s="8">
        <v>8634.3799999999992</v>
      </c>
      <c r="O383" t="s">
        <v>43</v>
      </c>
      <c r="P383" t="str">
        <f>UPPER(TRIM(SalesData[[#This Row],[Payment Mode]]))</f>
        <v>UPI</v>
      </c>
    </row>
    <row r="384" spans="1:16" x14ac:dyDescent="0.35">
      <c r="A384" s="4" t="s">
        <v>458</v>
      </c>
      <c r="B384" s="6">
        <v>45940</v>
      </c>
      <c r="C384" t="s">
        <v>15</v>
      </c>
      <c r="D384" t="str">
        <f>TRIM(SalesData[[#This Row],[Customer Name]])</f>
        <v>Isha Bhosale</v>
      </c>
      <c r="E384" t="s">
        <v>28</v>
      </c>
      <c r="F384" t="s">
        <v>23</v>
      </c>
      <c r="G384" t="s">
        <v>60</v>
      </c>
      <c r="H384" t="s">
        <v>36</v>
      </c>
      <c r="I384" s="10">
        <v>3</v>
      </c>
      <c r="J384" s="12">
        <v>0</v>
      </c>
      <c r="K384" s="8">
        <v>3367.73</v>
      </c>
      <c r="L384">
        <v>10103.19</v>
      </c>
      <c r="M384" s="8">
        <v>3548.28</v>
      </c>
      <c r="N384" s="8">
        <v>6554.91</v>
      </c>
      <c r="O384" t="s">
        <v>26</v>
      </c>
      <c r="P384" t="str">
        <f>UPPER(TRIM(SalesData[[#This Row],[Payment Mode]]))</f>
        <v>NET BANKING</v>
      </c>
    </row>
    <row r="385" spans="1:16" x14ac:dyDescent="0.35">
      <c r="A385" s="4" t="s">
        <v>459</v>
      </c>
      <c r="B385" s="6">
        <v>45942</v>
      </c>
      <c r="C385" t="s">
        <v>80</v>
      </c>
      <c r="D385" t="str">
        <f>TRIM(SalesData[[#This Row],[Customer Name]])</f>
        <v>Sagar Mane</v>
      </c>
      <c r="E385" t="s">
        <v>73</v>
      </c>
      <c r="F385" t="s">
        <v>74</v>
      </c>
      <c r="G385" t="s">
        <v>47</v>
      </c>
      <c r="H385" t="s">
        <v>25</v>
      </c>
      <c r="I385" s="10">
        <v>5</v>
      </c>
      <c r="J385" s="12">
        <v>0.05</v>
      </c>
      <c r="K385" s="8">
        <v>5966.48</v>
      </c>
      <c r="L385">
        <v>28340.78</v>
      </c>
      <c r="M385" s="8">
        <v>13118.55</v>
      </c>
      <c r="N385" s="8">
        <v>15222.23</v>
      </c>
      <c r="O385" t="s">
        <v>37</v>
      </c>
      <c r="P385" t="str">
        <f>UPPER(TRIM(SalesData[[#This Row],[Payment Mode]]))</f>
        <v>DEBIT CARD</v>
      </c>
    </row>
    <row r="386" spans="1:16" x14ac:dyDescent="0.35">
      <c r="A386" s="4" t="s">
        <v>460</v>
      </c>
      <c r="B386" s="6">
        <v>45943</v>
      </c>
      <c r="C386" t="s">
        <v>95</v>
      </c>
      <c r="D386" t="str">
        <f>TRIM(SalesData[[#This Row],[Customer Name]])</f>
        <v>Rahul Pawar</v>
      </c>
      <c r="E386" t="s">
        <v>22</v>
      </c>
      <c r="F386" t="s">
        <v>23</v>
      </c>
      <c r="G386" t="s">
        <v>32</v>
      </c>
      <c r="H386" t="s">
        <v>18</v>
      </c>
      <c r="I386" s="10">
        <v>4</v>
      </c>
      <c r="J386" s="12">
        <v>0.1</v>
      </c>
      <c r="K386" s="8">
        <v>50203.360000000001</v>
      </c>
      <c r="L386">
        <v>180732.1</v>
      </c>
      <c r="M386" s="8">
        <v>167786.04</v>
      </c>
      <c r="N386" s="8">
        <v>12946.06</v>
      </c>
      <c r="O386" t="s">
        <v>26</v>
      </c>
      <c r="P386" t="str">
        <f>UPPER(TRIM(SalesData[[#This Row],[Payment Mode]]))</f>
        <v>NET BANKING</v>
      </c>
    </row>
    <row r="387" spans="1:16" x14ac:dyDescent="0.35">
      <c r="A387" s="4" t="s">
        <v>461</v>
      </c>
      <c r="B387" s="6">
        <v>45944</v>
      </c>
      <c r="C387" t="s">
        <v>93</v>
      </c>
      <c r="D387" t="str">
        <f>TRIM(SalesData[[#This Row],[Customer Name]])</f>
        <v>Aditya Joshi</v>
      </c>
      <c r="E387" t="s">
        <v>16</v>
      </c>
      <c r="F387" t="s">
        <v>16</v>
      </c>
      <c r="G387" t="s">
        <v>35</v>
      </c>
      <c r="H387" t="s">
        <v>36</v>
      </c>
      <c r="I387" s="10">
        <v>3</v>
      </c>
      <c r="J387" s="12">
        <v>0.1</v>
      </c>
      <c r="K387" s="8">
        <v>1247.28</v>
      </c>
      <c r="L387">
        <v>3367.66</v>
      </c>
      <c r="M387" s="8">
        <v>1032.93</v>
      </c>
      <c r="N387" s="8">
        <v>2334.73</v>
      </c>
      <c r="O387" t="s">
        <v>19</v>
      </c>
      <c r="P387" t="str">
        <f>UPPER(TRIM(SalesData[[#This Row],[Payment Mode]]))</f>
        <v>CASH</v>
      </c>
    </row>
    <row r="388" spans="1:16" x14ac:dyDescent="0.35">
      <c r="A388" s="4" t="s">
        <v>462</v>
      </c>
      <c r="B388" s="6">
        <v>45944</v>
      </c>
      <c r="C388" t="s">
        <v>30</v>
      </c>
      <c r="D388" t="str">
        <f>TRIM(SalesData[[#This Row],[Customer Name]])</f>
        <v>Swati Kale</v>
      </c>
      <c r="E388" t="s">
        <v>31</v>
      </c>
      <c r="F388" t="s">
        <v>23</v>
      </c>
      <c r="G388" t="s">
        <v>47</v>
      </c>
      <c r="H388" t="s">
        <v>25</v>
      </c>
      <c r="I388" s="10">
        <v>3</v>
      </c>
      <c r="J388" s="12">
        <v>0.1</v>
      </c>
      <c r="K388" s="8">
        <v>6113.72</v>
      </c>
      <c r="L388">
        <v>16507.04</v>
      </c>
      <c r="M388" s="8">
        <v>7632.39</v>
      </c>
      <c r="N388" s="8">
        <v>8874.65</v>
      </c>
      <c r="O388" t="s">
        <v>26</v>
      </c>
      <c r="P388" t="str">
        <f>UPPER(TRIM(SalesData[[#This Row],[Payment Mode]]))</f>
        <v>NET BANKING</v>
      </c>
    </row>
    <row r="389" spans="1:16" x14ac:dyDescent="0.35">
      <c r="A389" s="4" t="s">
        <v>463</v>
      </c>
      <c r="B389" s="6">
        <v>45945</v>
      </c>
      <c r="C389" t="s">
        <v>50</v>
      </c>
      <c r="D389" t="str">
        <f>TRIM(SalesData[[#This Row],[Customer Name]])</f>
        <v>Priya Patil</v>
      </c>
      <c r="E389" t="s">
        <v>28</v>
      </c>
      <c r="F389" t="s">
        <v>23</v>
      </c>
      <c r="G389" t="s">
        <v>41</v>
      </c>
      <c r="H389" t="s">
        <v>42</v>
      </c>
      <c r="I389" s="10">
        <v>1</v>
      </c>
      <c r="J389" s="12">
        <v>0.15</v>
      </c>
      <c r="K389" s="8">
        <v>1819.11</v>
      </c>
      <c r="L389">
        <v>1546.24</v>
      </c>
      <c r="M389" s="8">
        <v>681</v>
      </c>
      <c r="N389" s="8">
        <v>865.24</v>
      </c>
      <c r="O389" t="s">
        <v>19</v>
      </c>
      <c r="P389" t="str">
        <f>UPPER(TRIM(SalesData[[#This Row],[Payment Mode]]))</f>
        <v>CASH</v>
      </c>
    </row>
    <row r="390" spans="1:16" x14ac:dyDescent="0.35">
      <c r="A390" s="4" t="s">
        <v>464</v>
      </c>
      <c r="B390" s="6">
        <v>45945</v>
      </c>
      <c r="C390" t="s">
        <v>64</v>
      </c>
      <c r="D390" t="str">
        <f>TRIM(SalesData[[#This Row],[Customer Name]])</f>
        <v>Neha Jadhav</v>
      </c>
      <c r="E390" t="s">
        <v>86</v>
      </c>
      <c r="F390" t="s">
        <v>87</v>
      </c>
      <c r="G390" t="s">
        <v>41</v>
      </c>
      <c r="H390" t="s">
        <v>42</v>
      </c>
      <c r="I390" s="10">
        <v>4</v>
      </c>
      <c r="J390" s="12">
        <v>0.1</v>
      </c>
      <c r="K390" s="8">
        <v>1749.69</v>
      </c>
      <c r="L390">
        <v>6298.88</v>
      </c>
      <c r="M390" s="8">
        <v>2863.2</v>
      </c>
      <c r="N390" s="8">
        <v>3435.68</v>
      </c>
      <c r="O390" t="s">
        <v>43</v>
      </c>
      <c r="P390" t="str">
        <f>UPPER(TRIM(SalesData[[#This Row],[Payment Mode]]))</f>
        <v>UPI</v>
      </c>
    </row>
    <row r="391" spans="1:16" x14ac:dyDescent="0.35">
      <c r="A391" s="4" t="s">
        <v>465</v>
      </c>
      <c r="B391" s="6">
        <v>45946</v>
      </c>
      <c r="C391" t="s">
        <v>93</v>
      </c>
      <c r="D391" t="str">
        <f>TRIM(SalesData[[#This Row],[Customer Name]])</f>
        <v>Aditya Joshi</v>
      </c>
      <c r="E391" t="s">
        <v>83</v>
      </c>
      <c r="F391" t="s">
        <v>23</v>
      </c>
      <c r="G391" t="s">
        <v>107</v>
      </c>
      <c r="H391" t="s">
        <v>36</v>
      </c>
      <c r="I391" s="10">
        <v>4</v>
      </c>
      <c r="J391" s="12">
        <v>0</v>
      </c>
      <c r="K391" s="8">
        <v>1847.41</v>
      </c>
      <c r="L391">
        <v>7389.64</v>
      </c>
      <c r="M391" s="8">
        <v>2473.64</v>
      </c>
      <c r="N391" s="8">
        <v>4916</v>
      </c>
      <c r="O391" t="s">
        <v>48</v>
      </c>
      <c r="P391" t="str">
        <f>UPPER(TRIM(SalesData[[#This Row],[Payment Mode]]))</f>
        <v>CREDIT CARD</v>
      </c>
    </row>
    <row r="392" spans="1:16" x14ac:dyDescent="0.35">
      <c r="A392" s="4" t="s">
        <v>466</v>
      </c>
      <c r="B392" s="6">
        <v>45948</v>
      </c>
      <c r="C392" t="s">
        <v>15</v>
      </c>
      <c r="D392" t="str">
        <f>TRIM(SalesData[[#This Row],[Customer Name]])</f>
        <v>Isha Bhosale</v>
      </c>
      <c r="E392" t="s">
        <v>73</v>
      </c>
      <c r="F392" t="s">
        <v>74</v>
      </c>
      <c r="G392" t="s">
        <v>41</v>
      </c>
      <c r="H392" t="s">
        <v>42</v>
      </c>
      <c r="I392" s="10">
        <v>5</v>
      </c>
      <c r="J392" s="12">
        <v>0</v>
      </c>
      <c r="K392" s="8">
        <v>1854.51</v>
      </c>
      <c r="L392">
        <v>9272.5499999999993</v>
      </c>
      <c r="M392" s="8">
        <v>3326.6</v>
      </c>
      <c r="N392" s="8">
        <v>5945.95</v>
      </c>
      <c r="O392" t="s">
        <v>43</v>
      </c>
      <c r="P392" t="str">
        <f>UPPER(TRIM(SalesData[[#This Row],[Payment Mode]]))</f>
        <v>UPI</v>
      </c>
    </row>
    <row r="393" spans="1:16" x14ac:dyDescent="0.35">
      <c r="A393" s="4" t="s">
        <v>467</v>
      </c>
      <c r="B393" s="6">
        <v>45950</v>
      </c>
      <c r="C393" t="s">
        <v>64</v>
      </c>
      <c r="D393" t="str">
        <f>TRIM(SalesData[[#This Row],[Customer Name]])</f>
        <v>Neha Jadhav</v>
      </c>
      <c r="E393" t="s">
        <v>86</v>
      </c>
      <c r="F393" t="s">
        <v>87</v>
      </c>
      <c r="G393" t="s">
        <v>60</v>
      </c>
      <c r="H393" t="s">
        <v>36</v>
      </c>
      <c r="I393" s="10">
        <v>5</v>
      </c>
      <c r="J393" s="12">
        <v>0.05</v>
      </c>
      <c r="K393" s="8">
        <v>3598.14</v>
      </c>
      <c r="L393">
        <v>17091.16</v>
      </c>
      <c r="M393" s="8">
        <v>5830.35</v>
      </c>
      <c r="N393" s="8">
        <v>11260.81</v>
      </c>
      <c r="O393" t="s">
        <v>26</v>
      </c>
      <c r="P393" t="str">
        <f>UPPER(TRIM(SalesData[[#This Row],[Payment Mode]]))</f>
        <v>NET BANKING</v>
      </c>
    </row>
    <row r="394" spans="1:16" x14ac:dyDescent="0.35">
      <c r="A394" s="4" t="s">
        <v>468</v>
      </c>
      <c r="B394" s="6">
        <v>45950</v>
      </c>
      <c r="C394" t="s">
        <v>59</v>
      </c>
      <c r="D394" t="str">
        <f>TRIM(SalesData[[#This Row],[Customer Name]])</f>
        <v>Rohan Deshmukh</v>
      </c>
      <c r="E394" t="s">
        <v>105</v>
      </c>
      <c r="F394" t="s">
        <v>106</v>
      </c>
      <c r="G394" t="s">
        <v>77</v>
      </c>
      <c r="H394" t="s">
        <v>25</v>
      </c>
      <c r="I394" s="10">
        <v>4</v>
      </c>
      <c r="J394" s="12">
        <v>0</v>
      </c>
      <c r="K394" s="8">
        <v>7172.67</v>
      </c>
      <c r="L394">
        <v>28690.68</v>
      </c>
      <c r="M394" s="8">
        <v>13735.36</v>
      </c>
      <c r="N394" s="8">
        <v>14955.32</v>
      </c>
      <c r="O394" t="s">
        <v>19</v>
      </c>
      <c r="P394" t="str">
        <f>UPPER(TRIM(SalesData[[#This Row],[Payment Mode]]))</f>
        <v>CASH</v>
      </c>
    </row>
    <row r="395" spans="1:16" x14ac:dyDescent="0.35">
      <c r="A395" s="4" t="s">
        <v>469</v>
      </c>
      <c r="B395" s="6">
        <v>45950</v>
      </c>
      <c r="C395" t="s">
        <v>85</v>
      </c>
      <c r="D395" t="str">
        <f>TRIM(SalesData[[#This Row],[Customer Name]])</f>
        <v>Amit Verma</v>
      </c>
      <c r="E395" t="s">
        <v>46</v>
      </c>
      <c r="F395" t="s">
        <v>23</v>
      </c>
      <c r="G395" t="s">
        <v>32</v>
      </c>
      <c r="H395" t="s">
        <v>18</v>
      </c>
      <c r="I395" s="10">
        <v>4</v>
      </c>
      <c r="J395" s="12">
        <v>0</v>
      </c>
      <c r="K395" s="8">
        <v>49997.15</v>
      </c>
      <c r="L395">
        <v>199988.6</v>
      </c>
      <c r="M395" s="8">
        <v>169858.4</v>
      </c>
      <c r="N395" s="8">
        <v>30130.2</v>
      </c>
      <c r="O395" t="s">
        <v>19</v>
      </c>
      <c r="P395" t="str">
        <f>UPPER(TRIM(SalesData[[#This Row],[Payment Mode]]))</f>
        <v>CASH</v>
      </c>
    </row>
    <row r="396" spans="1:16" x14ac:dyDescent="0.35">
      <c r="A396" s="4" t="s">
        <v>470</v>
      </c>
      <c r="B396" s="6">
        <v>45950</v>
      </c>
      <c r="C396" t="s">
        <v>15</v>
      </c>
      <c r="D396" t="str">
        <f>TRIM(SalesData[[#This Row],[Customer Name]])</f>
        <v>Isha Bhosale</v>
      </c>
      <c r="E396" t="s">
        <v>73</v>
      </c>
      <c r="F396" t="s">
        <v>74</v>
      </c>
      <c r="G396" t="s">
        <v>35</v>
      </c>
      <c r="H396" t="s">
        <v>36</v>
      </c>
      <c r="I396" s="10">
        <v>4</v>
      </c>
      <c r="J396" s="12">
        <v>0.05</v>
      </c>
      <c r="K396" s="8">
        <v>1144.0999999999999</v>
      </c>
      <c r="L396">
        <v>4347.58</v>
      </c>
      <c r="M396" s="8">
        <v>1468.12</v>
      </c>
      <c r="N396" s="8">
        <v>2879.46</v>
      </c>
      <c r="O396" t="s">
        <v>48</v>
      </c>
      <c r="P396" t="str">
        <f>UPPER(TRIM(SalesData[[#This Row],[Payment Mode]]))</f>
        <v>CREDIT CARD</v>
      </c>
    </row>
    <row r="397" spans="1:16" x14ac:dyDescent="0.35">
      <c r="A397" s="4" t="s">
        <v>471</v>
      </c>
      <c r="B397" s="6">
        <v>45955</v>
      </c>
      <c r="C397" t="s">
        <v>168</v>
      </c>
      <c r="D397" t="str">
        <f>TRIM(SalesData[[#This Row],[Customer Name]])</f>
        <v>Kavita Singh</v>
      </c>
      <c r="E397" t="s">
        <v>53</v>
      </c>
      <c r="F397" t="s">
        <v>54</v>
      </c>
      <c r="G397" t="s">
        <v>65</v>
      </c>
      <c r="H397" t="s">
        <v>18</v>
      </c>
      <c r="I397" s="10">
        <v>5</v>
      </c>
      <c r="J397" s="12">
        <v>0.05</v>
      </c>
      <c r="K397" s="8">
        <v>21189.45</v>
      </c>
      <c r="L397">
        <v>100649.89</v>
      </c>
      <c r="M397" s="8">
        <v>71510.75</v>
      </c>
      <c r="N397" s="8">
        <v>29139.14</v>
      </c>
      <c r="O397" t="s">
        <v>48</v>
      </c>
      <c r="P397" t="str">
        <f>UPPER(TRIM(SalesData[[#This Row],[Payment Mode]]))</f>
        <v>CREDIT CARD</v>
      </c>
    </row>
    <row r="398" spans="1:16" x14ac:dyDescent="0.35">
      <c r="A398" s="4" t="s">
        <v>472</v>
      </c>
      <c r="B398" s="6">
        <v>45956</v>
      </c>
      <c r="C398" t="s">
        <v>30</v>
      </c>
      <c r="D398" t="str">
        <f>TRIM(SalesData[[#This Row],[Customer Name]])</f>
        <v>Swati Kale</v>
      </c>
      <c r="E398" t="s">
        <v>105</v>
      </c>
      <c r="F398" t="s">
        <v>106</v>
      </c>
      <c r="G398" t="s">
        <v>35</v>
      </c>
      <c r="H398" t="s">
        <v>36</v>
      </c>
      <c r="I398" s="10">
        <v>2</v>
      </c>
      <c r="J398" s="12">
        <v>0</v>
      </c>
      <c r="K398" s="8">
        <v>1175.43</v>
      </c>
      <c r="L398">
        <v>2350.86</v>
      </c>
      <c r="M398" s="8">
        <v>687.58</v>
      </c>
      <c r="N398" s="8">
        <v>1663.28</v>
      </c>
      <c r="O398" t="s">
        <v>26</v>
      </c>
      <c r="P398" t="str">
        <f>UPPER(TRIM(SalesData[[#This Row],[Payment Mode]]))</f>
        <v>NET BANKING</v>
      </c>
    </row>
    <row r="399" spans="1:16" x14ac:dyDescent="0.35">
      <c r="A399" s="4" t="s">
        <v>473</v>
      </c>
      <c r="B399" s="6">
        <v>45957</v>
      </c>
      <c r="C399" t="s">
        <v>116</v>
      </c>
      <c r="D399" t="str">
        <f>TRIM(SalesData[[#This Row],[Customer Name]])</f>
        <v>Sneha Kulkarni</v>
      </c>
      <c r="E399" t="s">
        <v>40</v>
      </c>
      <c r="F399" t="s">
        <v>23</v>
      </c>
      <c r="G399" t="s">
        <v>107</v>
      </c>
      <c r="H399" t="s">
        <v>36</v>
      </c>
      <c r="I399" s="10">
        <v>5</v>
      </c>
      <c r="J399" s="12">
        <v>0</v>
      </c>
      <c r="K399" s="8">
        <v>1778.44</v>
      </c>
      <c r="L399">
        <v>8892.2000000000007</v>
      </c>
      <c r="M399" s="8">
        <v>2969.65</v>
      </c>
      <c r="N399" s="8">
        <v>5922.55</v>
      </c>
      <c r="O399" t="s">
        <v>37</v>
      </c>
      <c r="P399" t="str">
        <f>UPPER(TRIM(SalesData[[#This Row],[Payment Mode]]))</f>
        <v>DEBIT CARD</v>
      </c>
    </row>
    <row r="400" spans="1:16" x14ac:dyDescent="0.35">
      <c r="A400" s="4" t="s">
        <v>474</v>
      </c>
      <c r="B400" s="6">
        <v>45958</v>
      </c>
      <c r="C400" t="s">
        <v>95</v>
      </c>
      <c r="D400" t="str">
        <f>TRIM(SalesData[[#This Row],[Customer Name]])</f>
        <v>Rahul Pawar</v>
      </c>
      <c r="E400" t="s">
        <v>28</v>
      </c>
      <c r="F400" t="s">
        <v>23</v>
      </c>
      <c r="G400" t="s">
        <v>32</v>
      </c>
      <c r="H400" t="s">
        <v>18</v>
      </c>
      <c r="I400" s="10">
        <v>4</v>
      </c>
      <c r="J400" s="12">
        <v>0.05</v>
      </c>
      <c r="K400" s="8">
        <v>53987.74</v>
      </c>
      <c r="L400">
        <v>205153.41</v>
      </c>
      <c r="M400" s="8">
        <v>170871.84</v>
      </c>
      <c r="N400" s="8">
        <v>34281.57</v>
      </c>
      <c r="O400" t="s">
        <v>19</v>
      </c>
      <c r="P400" t="str">
        <f>UPPER(TRIM(SalesData[[#This Row],[Payment Mode]]))</f>
        <v>CASH</v>
      </c>
    </row>
    <row r="401" spans="1:16" x14ac:dyDescent="0.35">
      <c r="A401" s="4" t="s">
        <v>475</v>
      </c>
      <c r="B401" s="6">
        <v>45958</v>
      </c>
      <c r="C401" t="s">
        <v>89</v>
      </c>
      <c r="D401" t="str">
        <f>TRIM(SalesData[[#This Row],[Customer Name]])</f>
        <v>Kunal Thakur</v>
      </c>
      <c r="E401" t="s">
        <v>86</v>
      </c>
      <c r="F401" t="s">
        <v>87</v>
      </c>
      <c r="G401" t="s">
        <v>101</v>
      </c>
      <c r="H401" t="s">
        <v>18</v>
      </c>
      <c r="I401" s="10">
        <v>2</v>
      </c>
      <c r="J401" s="12">
        <v>0</v>
      </c>
      <c r="K401" s="8">
        <v>17353.45</v>
      </c>
      <c r="L401">
        <v>34706.9</v>
      </c>
      <c r="M401" s="8">
        <v>16195.86</v>
      </c>
      <c r="N401" s="8">
        <v>18511.04</v>
      </c>
      <c r="O401" t="s">
        <v>37</v>
      </c>
      <c r="P401" t="str">
        <f>UPPER(TRIM(SalesData[[#This Row],[Payment Mode]]))</f>
        <v>DEBIT CARD</v>
      </c>
    </row>
    <row r="402" spans="1:16" x14ac:dyDescent="0.35">
      <c r="A402" s="4" t="s">
        <v>476</v>
      </c>
      <c r="B402" s="6">
        <v>45958</v>
      </c>
      <c r="C402" t="s">
        <v>116</v>
      </c>
      <c r="D402" t="str">
        <f>TRIM(SalesData[[#This Row],[Customer Name]])</f>
        <v>Sneha Kulkarni</v>
      </c>
      <c r="E402" t="s">
        <v>28</v>
      </c>
      <c r="F402" t="s">
        <v>23</v>
      </c>
      <c r="G402" t="s">
        <v>101</v>
      </c>
      <c r="H402" t="s">
        <v>18</v>
      </c>
      <c r="I402" s="10">
        <v>4</v>
      </c>
      <c r="J402" s="12">
        <v>0.05</v>
      </c>
      <c r="K402" s="8">
        <v>18324.2</v>
      </c>
      <c r="L402">
        <v>69631.960000000006</v>
      </c>
      <c r="M402" s="8">
        <v>31706.080000000002</v>
      </c>
      <c r="N402" s="8">
        <v>37925.879999999997</v>
      </c>
      <c r="O402" t="s">
        <v>43</v>
      </c>
      <c r="P402" t="str">
        <f>UPPER(TRIM(SalesData[[#This Row],[Payment Mode]]))</f>
        <v>UPI</v>
      </c>
    </row>
    <row r="403" spans="1:16" x14ac:dyDescent="0.35">
      <c r="A403" s="4" t="s">
        <v>477</v>
      </c>
      <c r="B403" s="6">
        <v>45959</v>
      </c>
      <c r="C403" t="s">
        <v>56</v>
      </c>
      <c r="D403" t="str">
        <f>TRIM(SalesData[[#This Row],[Customer Name]])</f>
        <v>Pooja Shinde</v>
      </c>
      <c r="E403" t="s">
        <v>105</v>
      </c>
      <c r="F403" t="s">
        <v>106</v>
      </c>
      <c r="G403" t="s">
        <v>47</v>
      </c>
      <c r="H403" t="s">
        <v>25</v>
      </c>
      <c r="I403" s="10">
        <v>1</v>
      </c>
      <c r="J403" s="12">
        <v>0.05</v>
      </c>
      <c r="K403" s="8">
        <v>6081.64</v>
      </c>
      <c r="L403">
        <v>5777.56</v>
      </c>
      <c r="M403" s="8">
        <v>2430.27</v>
      </c>
      <c r="N403" s="8">
        <v>3347.29</v>
      </c>
      <c r="O403" t="s">
        <v>19</v>
      </c>
      <c r="P403" t="str">
        <f>UPPER(TRIM(SalesData[[#This Row],[Payment Mode]]))</f>
        <v>CASH</v>
      </c>
    </row>
    <row r="404" spans="1:16" x14ac:dyDescent="0.35">
      <c r="A404" s="4" t="s">
        <v>478</v>
      </c>
      <c r="B404" s="6">
        <v>45959</v>
      </c>
      <c r="C404" t="s">
        <v>93</v>
      </c>
      <c r="D404" t="str">
        <f>TRIM(SalesData[[#This Row],[Customer Name]])</f>
        <v>Aditya Joshi</v>
      </c>
      <c r="E404" t="s">
        <v>53</v>
      </c>
      <c r="F404" t="s">
        <v>54</v>
      </c>
      <c r="G404" t="s">
        <v>107</v>
      </c>
      <c r="H404" t="s">
        <v>36</v>
      </c>
      <c r="I404" s="10">
        <v>5</v>
      </c>
      <c r="J404" s="12">
        <v>0</v>
      </c>
      <c r="K404" s="8">
        <v>1859.14</v>
      </c>
      <c r="L404">
        <v>9295.7000000000007</v>
      </c>
      <c r="M404" s="8">
        <v>3086.8</v>
      </c>
      <c r="N404" s="8">
        <v>6208.9</v>
      </c>
      <c r="O404" t="s">
        <v>19</v>
      </c>
      <c r="P404" t="str">
        <f>UPPER(TRIM(SalesData[[#This Row],[Payment Mode]]))</f>
        <v>CASH</v>
      </c>
    </row>
    <row r="405" spans="1:16" x14ac:dyDescent="0.35">
      <c r="A405" s="4" t="s">
        <v>479</v>
      </c>
      <c r="B405" s="6">
        <v>45960</v>
      </c>
      <c r="C405" t="s">
        <v>95</v>
      </c>
      <c r="D405" t="str">
        <f>TRIM(SalesData[[#This Row],[Customer Name]])</f>
        <v>Rahul Pawar</v>
      </c>
      <c r="E405" t="s">
        <v>53</v>
      </c>
      <c r="F405" t="s">
        <v>54</v>
      </c>
      <c r="G405" t="s">
        <v>101</v>
      </c>
      <c r="H405" t="s">
        <v>18</v>
      </c>
      <c r="I405" s="10">
        <v>3</v>
      </c>
      <c r="J405" s="12">
        <v>0</v>
      </c>
      <c r="K405" s="8">
        <v>17687.41</v>
      </c>
      <c r="L405">
        <v>53062.23</v>
      </c>
      <c r="M405" s="8">
        <v>24815.19</v>
      </c>
      <c r="N405" s="8">
        <v>28247.040000000001</v>
      </c>
      <c r="O405" t="s">
        <v>48</v>
      </c>
      <c r="P405" t="str">
        <f>UPPER(TRIM(SalesData[[#This Row],[Payment Mode]]))</f>
        <v>CREDIT CARD</v>
      </c>
    </row>
    <row r="406" spans="1:16" x14ac:dyDescent="0.35">
      <c r="A406" s="4" t="s">
        <v>480</v>
      </c>
      <c r="B406" s="6">
        <v>45961</v>
      </c>
      <c r="C406" t="s">
        <v>50</v>
      </c>
      <c r="D406" t="str">
        <f>TRIM(SalesData[[#This Row],[Customer Name]])</f>
        <v>Priya Patil</v>
      </c>
      <c r="E406" t="s">
        <v>105</v>
      </c>
      <c r="F406" t="s">
        <v>106</v>
      </c>
      <c r="G406" t="s">
        <v>77</v>
      </c>
      <c r="H406" t="s">
        <v>25</v>
      </c>
      <c r="I406" s="10">
        <v>2</v>
      </c>
      <c r="J406" s="12">
        <v>0.1</v>
      </c>
      <c r="K406" s="8">
        <v>7500.33</v>
      </c>
      <c r="L406">
        <v>13500.59</v>
      </c>
      <c r="M406" s="8">
        <v>7029.66</v>
      </c>
      <c r="N406" s="8">
        <v>6470.93</v>
      </c>
      <c r="O406" t="s">
        <v>19</v>
      </c>
      <c r="P406" t="str">
        <f>UPPER(TRIM(SalesData[[#This Row],[Payment Mode]]))</f>
        <v>CASH</v>
      </c>
    </row>
    <row r="407" spans="1:16" x14ac:dyDescent="0.35">
      <c r="A407" s="4" t="s">
        <v>481</v>
      </c>
      <c r="B407" s="6">
        <v>45961</v>
      </c>
      <c r="C407" t="s">
        <v>30</v>
      </c>
      <c r="D407" t="str">
        <f>TRIM(SalesData[[#This Row],[Customer Name]])</f>
        <v>Swati Kale</v>
      </c>
      <c r="E407" t="s">
        <v>31</v>
      </c>
      <c r="F407" t="s">
        <v>23</v>
      </c>
      <c r="G407" t="s">
        <v>107</v>
      </c>
      <c r="H407" t="s">
        <v>36</v>
      </c>
      <c r="I407" s="10">
        <v>5</v>
      </c>
      <c r="J407" s="12">
        <v>0.1</v>
      </c>
      <c r="K407" s="8">
        <v>1743.97</v>
      </c>
      <c r="L407">
        <v>7847.87</v>
      </c>
      <c r="M407" s="8">
        <v>2933.65</v>
      </c>
      <c r="N407" s="8">
        <v>4914.22</v>
      </c>
      <c r="O407" t="s">
        <v>37</v>
      </c>
      <c r="P407" t="str">
        <f>UPPER(TRIM(SalesData[[#This Row],[Payment Mode]]))</f>
        <v>DEBIT CARD</v>
      </c>
    </row>
    <row r="408" spans="1:16" x14ac:dyDescent="0.35">
      <c r="A408" s="4" t="s">
        <v>482</v>
      </c>
      <c r="B408" s="6">
        <v>45961</v>
      </c>
      <c r="C408" t="s">
        <v>59</v>
      </c>
      <c r="D408" t="str">
        <f>TRIM(SalesData[[#This Row],[Customer Name]])</f>
        <v>Rohan Deshmukh</v>
      </c>
      <c r="E408" t="s">
        <v>16</v>
      </c>
      <c r="F408" t="s">
        <v>16</v>
      </c>
      <c r="G408" t="s">
        <v>32</v>
      </c>
      <c r="H408" t="s">
        <v>18</v>
      </c>
      <c r="I408" s="10">
        <v>3</v>
      </c>
      <c r="J408" s="12">
        <v>0</v>
      </c>
      <c r="K408" s="8">
        <v>51274.22</v>
      </c>
      <c r="L408">
        <v>153822.66</v>
      </c>
      <c r="M408" s="8">
        <v>129575.1</v>
      </c>
      <c r="N408" s="8">
        <v>24247.56</v>
      </c>
      <c r="O408" t="s">
        <v>48</v>
      </c>
      <c r="P408" t="str">
        <f>UPPER(TRIM(SalesData[[#This Row],[Payment Mode]]))</f>
        <v>CREDIT CARD</v>
      </c>
    </row>
    <row r="409" spans="1:16" x14ac:dyDescent="0.35">
      <c r="A409" s="4" t="s">
        <v>483</v>
      </c>
      <c r="B409" s="6">
        <v>45961</v>
      </c>
      <c r="C409" t="s">
        <v>95</v>
      </c>
      <c r="D409" t="str">
        <f>TRIM(SalesData[[#This Row],[Customer Name]])</f>
        <v>Rahul Pawar</v>
      </c>
      <c r="E409" t="s">
        <v>46</v>
      </c>
      <c r="F409" t="s">
        <v>23</v>
      </c>
      <c r="G409" t="s">
        <v>60</v>
      </c>
      <c r="H409" t="s">
        <v>36</v>
      </c>
      <c r="I409" s="10">
        <v>3</v>
      </c>
      <c r="J409" s="12">
        <v>0.05</v>
      </c>
      <c r="K409" s="8">
        <v>3674.81</v>
      </c>
      <c r="L409">
        <v>10473.209999999999</v>
      </c>
      <c r="M409" s="8">
        <v>3457.74</v>
      </c>
      <c r="N409" s="8">
        <v>7015.47</v>
      </c>
      <c r="O409" t="s">
        <v>19</v>
      </c>
      <c r="P409" t="str">
        <f>UPPER(TRIM(SalesData[[#This Row],[Payment Mode]]))</f>
        <v>CASH</v>
      </c>
    </row>
    <row r="410" spans="1:16" x14ac:dyDescent="0.35">
      <c r="A410" s="4" t="s">
        <v>484</v>
      </c>
      <c r="B410" s="6">
        <v>45962</v>
      </c>
      <c r="C410" t="s">
        <v>89</v>
      </c>
      <c r="D410" t="str">
        <f>TRIM(SalesData[[#This Row],[Customer Name]])</f>
        <v>Kunal Thakur</v>
      </c>
      <c r="E410" t="s">
        <v>40</v>
      </c>
      <c r="F410" t="s">
        <v>23</v>
      </c>
      <c r="G410" t="s">
        <v>107</v>
      </c>
      <c r="H410" t="s">
        <v>36</v>
      </c>
      <c r="I410" s="10">
        <v>2</v>
      </c>
      <c r="J410" s="12">
        <v>0.15</v>
      </c>
      <c r="K410" s="8">
        <v>1736.09</v>
      </c>
      <c r="L410">
        <v>2951.35</v>
      </c>
      <c r="M410" s="8">
        <v>1227.02</v>
      </c>
      <c r="N410" s="8">
        <v>1724.33</v>
      </c>
      <c r="O410" t="s">
        <v>37</v>
      </c>
      <c r="P410" t="str">
        <f>UPPER(TRIM(SalesData[[#This Row],[Payment Mode]]))</f>
        <v>DEBIT CARD</v>
      </c>
    </row>
    <row r="411" spans="1:16" x14ac:dyDescent="0.35">
      <c r="A411" s="4" t="s">
        <v>485</v>
      </c>
      <c r="B411" s="6">
        <v>45962</v>
      </c>
      <c r="C411" t="s">
        <v>34</v>
      </c>
      <c r="D411" t="str">
        <f>TRIM(SalesData[[#This Row],[Customer Name]])</f>
        <v>Meera Desai</v>
      </c>
      <c r="E411" t="s">
        <v>73</v>
      </c>
      <c r="F411" t="s">
        <v>74</v>
      </c>
      <c r="G411" t="s">
        <v>107</v>
      </c>
      <c r="H411" t="s">
        <v>36</v>
      </c>
      <c r="I411" s="10">
        <v>4</v>
      </c>
      <c r="J411" s="12">
        <v>0.05</v>
      </c>
      <c r="K411" s="8">
        <v>1884.47</v>
      </c>
      <c r="L411">
        <v>7160.99</v>
      </c>
      <c r="M411" s="8">
        <v>2405.56</v>
      </c>
      <c r="N411" s="8">
        <v>4755.43</v>
      </c>
      <c r="O411" t="s">
        <v>43</v>
      </c>
      <c r="P411" t="str">
        <f>UPPER(TRIM(SalesData[[#This Row],[Payment Mode]]))</f>
        <v>UPI</v>
      </c>
    </row>
    <row r="412" spans="1:16" x14ac:dyDescent="0.35">
      <c r="A412" s="4" t="s">
        <v>486</v>
      </c>
      <c r="B412" s="6">
        <v>45962</v>
      </c>
      <c r="C412" t="s">
        <v>80</v>
      </c>
      <c r="D412" t="str">
        <f>TRIM(SalesData[[#This Row],[Customer Name]])</f>
        <v>Sagar Mane</v>
      </c>
      <c r="E412" t="s">
        <v>40</v>
      </c>
      <c r="F412" t="s">
        <v>23</v>
      </c>
      <c r="G412" t="s">
        <v>60</v>
      </c>
      <c r="H412" t="s">
        <v>36</v>
      </c>
      <c r="I412" s="10">
        <v>1</v>
      </c>
      <c r="J412" s="12">
        <v>0</v>
      </c>
      <c r="K412" s="8">
        <v>3444.14</v>
      </c>
      <c r="L412">
        <v>3444.14</v>
      </c>
      <c r="M412" s="8">
        <v>1204.97</v>
      </c>
      <c r="N412" s="8">
        <v>2239.17</v>
      </c>
      <c r="O412" t="s">
        <v>48</v>
      </c>
      <c r="P412" t="str">
        <f>UPPER(TRIM(SalesData[[#This Row],[Payment Mode]]))</f>
        <v>CREDIT CARD</v>
      </c>
    </row>
    <row r="413" spans="1:16" x14ac:dyDescent="0.35">
      <c r="A413" s="4" t="s">
        <v>487</v>
      </c>
      <c r="B413" s="6">
        <v>45962</v>
      </c>
      <c r="C413" t="s">
        <v>39</v>
      </c>
      <c r="D413" t="str">
        <f>TRIM(SalesData[[#This Row],[Customer Name]])</f>
        <v>Akash Wagh</v>
      </c>
      <c r="E413" t="s">
        <v>16</v>
      </c>
      <c r="F413" t="s">
        <v>16</v>
      </c>
      <c r="G413" t="s">
        <v>65</v>
      </c>
      <c r="H413" t="s">
        <v>18</v>
      </c>
      <c r="I413" s="10">
        <v>4</v>
      </c>
      <c r="J413" s="12">
        <v>0</v>
      </c>
      <c r="K413" s="8">
        <v>21748.92</v>
      </c>
      <c r="L413">
        <v>86995.68</v>
      </c>
      <c r="M413" s="8">
        <v>57633.64</v>
      </c>
      <c r="N413" s="8">
        <v>29362.04</v>
      </c>
      <c r="O413" t="s">
        <v>26</v>
      </c>
      <c r="P413" t="str">
        <f>UPPER(TRIM(SalesData[[#This Row],[Payment Mode]]))</f>
        <v>NET BANKING</v>
      </c>
    </row>
    <row r="414" spans="1:16" x14ac:dyDescent="0.35">
      <c r="A414" s="4" t="s">
        <v>488</v>
      </c>
      <c r="B414" s="6">
        <v>45964</v>
      </c>
      <c r="C414" t="s">
        <v>95</v>
      </c>
      <c r="D414" t="str">
        <f>TRIM(SalesData[[#This Row],[Customer Name]])</f>
        <v>Rahul Pawar</v>
      </c>
      <c r="E414" t="s">
        <v>40</v>
      </c>
      <c r="F414" t="s">
        <v>23</v>
      </c>
      <c r="G414" t="s">
        <v>47</v>
      </c>
      <c r="H414" t="s">
        <v>25</v>
      </c>
      <c r="I414" s="10">
        <v>3</v>
      </c>
      <c r="J414" s="12">
        <v>0</v>
      </c>
      <c r="K414" s="8">
        <v>6289.94</v>
      </c>
      <c r="L414">
        <v>18869.82</v>
      </c>
      <c r="M414" s="8">
        <v>7475.07</v>
      </c>
      <c r="N414" s="8">
        <v>11394.75</v>
      </c>
      <c r="O414" t="s">
        <v>26</v>
      </c>
      <c r="P414" t="str">
        <f>UPPER(TRIM(SalesData[[#This Row],[Payment Mode]]))</f>
        <v>NET BANKING</v>
      </c>
    </row>
    <row r="415" spans="1:16" x14ac:dyDescent="0.35">
      <c r="A415" s="4" t="s">
        <v>489</v>
      </c>
      <c r="B415" s="6">
        <v>45965</v>
      </c>
      <c r="C415" t="s">
        <v>62</v>
      </c>
      <c r="D415" t="str">
        <f>TRIM(SalesData[[#This Row],[Customer Name]])</f>
        <v>Vivek More</v>
      </c>
      <c r="E415" t="s">
        <v>83</v>
      </c>
      <c r="F415" t="s">
        <v>23</v>
      </c>
      <c r="G415" t="s">
        <v>41</v>
      </c>
      <c r="H415" t="s">
        <v>42</v>
      </c>
      <c r="I415" s="10">
        <v>1</v>
      </c>
      <c r="J415" s="12">
        <v>0.05</v>
      </c>
      <c r="K415" s="8">
        <v>1834.22</v>
      </c>
      <c r="L415">
        <v>1742.51</v>
      </c>
      <c r="M415" s="8">
        <v>730.14</v>
      </c>
      <c r="N415" s="8">
        <v>1012.37</v>
      </c>
      <c r="O415" t="s">
        <v>37</v>
      </c>
      <c r="P415" t="str">
        <f>UPPER(TRIM(SalesData[[#This Row],[Payment Mode]]))</f>
        <v>DEBIT CARD</v>
      </c>
    </row>
    <row r="416" spans="1:16" x14ac:dyDescent="0.35">
      <c r="A416" s="4" t="s">
        <v>490</v>
      </c>
      <c r="B416" s="6">
        <v>45966</v>
      </c>
      <c r="C416" t="s">
        <v>56</v>
      </c>
      <c r="D416" t="str">
        <f>TRIM(SalesData[[#This Row],[Customer Name]])</f>
        <v>Pooja Shinde</v>
      </c>
      <c r="E416" t="s">
        <v>28</v>
      </c>
      <c r="F416" t="s">
        <v>23</v>
      </c>
      <c r="G416" t="s">
        <v>35</v>
      </c>
      <c r="H416" t="s">
        <v>36</v>
      </c>
      <c r="I416" s="10">
        <v>1</v>
      </c>
      <c r="J416" s="12">
        <v>0.05</v>
      </c>
      <c r="K416" s="8">
        <v>1200.33</v>
      </c>
      <c r="L416">
        <v>1140.31</v>
      </c>
      <c r="M416" s="8">
        <v>340.63</v>
      </c>
      <c r="N416" s="8">
        <v>799.68</v>
      </c>
      <c r="O416" t="s">
        <v>37</v>
      </c>
      <c r="P416" t="str">
        <f>UPPER(TRIM(SalesData[[#This Row],[Payment Mode]]))</f>
        <v>DEBIT CARD</v>
      </c>
    </row>
    <row r="417" spans="1:16" x14ac:dyDescent="0.35">
      <c r="A417" s="4" t="s">
        <v>491</v>
      </c>
      <c r="B417" s="6">
        <v>45967</v>
      </c>
      <c r="C417" t="s">
        <v>59</v>
      </c>
      <c r="D417" t="str">
        <f>TRIM(SalesData[[#This Row],[Customer Name]])</f>
        <v>Rohan Deshmukh</v>
      </c>
      <c r="E417" t="s">
        <v>22</v>
      </c>
      <c r="F417" t="s">
        <v>23</v>
      </c>
      <c r="G417" t="s">
        <v>41</v>
      </c>
      <c r="H417" t="s">
        <v>42</v>
      </c>
      <c r="I417" s="10">
        <v>3</v>
      </c>
      <c r="J417" s="12">
        <v>0.15</v>
      </c>
      <c r="K417" s="8">
        <v>1761.11</v>
      </c>
      <c r="L417">
        <v>4490.83</v>
      </c>
      <c r="M417" s="8">
        <v>2059.14</v>
      </c>
      <c r="N417" s="8">
        <v>2431.69</v>
      </c>
      <c r="O417" t="s">
        <v>26</v>
      </c>
      <c r="P417" t="str">
        <f>UPPER(TRIM(SalesData[[#This Row],[Payment Mode]]))</f>
        <v>NET BANKING</v>
      </c>
    </row>
    <row r="418" spans="1:16" x14ac:dyDescent="0.35">
      <c r="A418" s="4" t="s">
        <v>492</v>
      </c>
      <c r="B418" s="6">
        <v>45968</v>
      </c>
      <c r="C418" t="s">
        <v>39</v>
      </c>
      <c r="D418" t="str">
        <f>TRIM(SalesData[[#This Row],[Customer Name]])</f>
        <v>Akash Wagh</v>
      </c>
      <c r="E418" t="s">
        <v>73</v>
      </c>
      <c r="F418" t="s">
        <v>74</v>
      </c>
      <c r="G418" t="s">
        <v>107</v>
      </c>
      <c r="H418" t="s">
        <v>36</v>
      </c>
      <c r="I418" s="10">
        <v>4</v>
      </c>
      <c r="J418" s="12">
        <v>0.1</v>
      </c>
      <c r="K418" s="8">
        <v>1883.18</v>
      </c>
      <c r="L418">
        <v>6779.45</v>
      </c>
      <c r="M418" s="8">
        <v>2469.6</v>
      </c>
      <c r="N418" s="8">
        <v>4309.8500000000004</v>
      </c>
      <c r="O418" t="s">
        <v>19</v>
      </c>
      <c r="P418" t="str">
        <f>UPPER(TRIM(SalesData[[#This Row],[Payment Mode]]))</f>
        <v>CASH</v>
      </c>
    </row>
    <row r="419" spans="1:16" x14ac:dyDescent="0.35">
      <c r="A419" s="4" t="s">
        <v>493</v>
      </c>
      <c r="B419" s="6">
        <v>45968</v>
      </c>
      <c r="C419" t="s">
        <v>59</v>
      </c>
      <c r="D419" t="str">
        <f>TRIM(SalesData[[#This Row],[Customer Name]])</f>
        <v>Rohan Deshmukh</v>
      </c>
      <c r="E419" t="s">
        <v>28</v>
      </c>
      <c r="F419" t="s">
        <v>23</v>
      </c>
      <c r="G419" t="s">
        <v>35</v>
      </c>
      <c r="H419" t="s">
        <v>36</v>
      </c>
      <c r="I419" s="10">
        <v>5</v>
      </c>
      <c r="J419" s="12">
        <v>0.05</v>
      </c>
      <c r="K419" s="8">
        <v>1143.4000000000001</v>
      </c>
      <c r="L419">
        <v>5431.15</v>
      </c>
      <c r="M419" s="8">
        <v>1699.25</v>
      </c>
      <c r="N419" s="8">
        <v>3731.9</v>
      </c>
      <c r="O419" t="s">
        <v>48</v>
      </c>
      <c r="P419" t="str">
        <f>UPPER(TRIM(SalesData[[#This Row],[Payment Mode]]))</f>
        <v>CREDIT CARD</v>
      </c>
    </row>
    <row r="420" spans="1:16" x14ac:dyDescent="0.35">
      <c r="A420" s="4" t="s">
        <v>494</v>
      </c>
      <c r="B420" s="6">
        <v>45969</v>
      </c>
      <c r="C420" t="s">
        <v>67</v>
      </c>
      <c r="D420" t="str">
        <f>TRIM(SalesData[[#This Row],[Customer Name]])</f>
        <v>Anjali Chavan</v>
      </c>
      <c r="E420" t="s">
        <v>16</v>
      </c>
      <c r="F420" t="s">
        <v>16</v>
      </c>
      <c r="G420" t="s">
        <v>60</v>
      </c>
      <c r="H420" t="s">
        <v>36</v>
      </c>
      <c r="I420" s="10">
        <v>3</v>
      </c>
      <c r="J420" s="12">
        <v>0</v>
      </c>
      <c r="K420" s="8">
        <v>3426.22</v>
      </c>
      <c r="L420">
        <v>10278.66</v>
      </c>
      <c r="M420" s="8">
        <v>3531.54</v>
      </c>
      <c r="N420" s="8">
        <v>6747.12</v>
      </c>
      <c r="O420" t="s">
        <v>43</v>
      </c>
      <c r="P420" t="str">
        <f>UPPER(TRIM(SalesData[[#This Row],[Payment Mode]]))</f>
        <v>UPI</v>
      </c>
    </row>
    <row r="421" spans="1:16" x14ac:dyDescent="0.35">
      <c r="A421" s="4" t="s">
        <v>495</v>
      </c>
      <c r="B421" s="6">
        <v>45970</v>
      </c>
      <c r="C421" t="s">
        <v>62</v>
      </c>
      <c r="D421" t="str">
        <f>TRIM(SalesData[[#This Row],[Customer Name]])</f>
        <v>Vivek More</v>
      </c>
      <c r="E421" t="s">
        <v>53</v>
      </c>
      <c r="F421" t="s">
        <v>54</v>
      </c>
      <c r="G421" t="s">
        <v>75</v>
      </c>
      <c r="H421" t="s">
        <v>18</v>
      </c>
      <c r="I421" s="10">
        <v>1</v>
      </c>
      <c r="J421" s="12">
        <v>0.1</v>
      </c>
      <c r="K421" s="8">
        <v>16283.11</v>
      </c>
      <c r="L421">
        <v>14654.8</v>
      </c>
      <c r="M421" s="8">
        <v>9304.1200000000008</v>
      </c>
      <c r="N421" s="8">
        <v>5350.68</v>
      </c>
      <c r="O421" t="s">
        <v>26</v>
      </c>
      <c r="P421" t="str">
        <f>UPPER(TRIM(SalesData[[#This Row],[Payment Mode]]))</f>
        <v>NET BANKING</v>
      </c>
    </row>
    <row r="422" spans="1:16" x14ac:dyDescent="0.35">
      <c r="A422" s="4" t="s">
        <v>496</v>
      </c>
      <c r="B422" s="6">
        <v>45970</v>
      </c>
      <c r="C422" t="s">
        <v>15</v>
      </c>
      <c r="D422" t="str">
        <f>TRIM(SalesData[[#This Row],[Customer Name]])</f>
        <v>Isha Bhosale</v>
      </c>
      <c r="E422" t="s">
        <v>83</v>
      </c>
      <c r="F422" t="s">
        <v>23</v>
      </c>
      <c r="G422" t="s">
        <v>60</v>
      </c>
      <c r="H422" t="s">
        <v>36</v>
      </c>
      <c r="I422" s="10">
        <v>1</v>
      </c>
      <c r="J422" s="12">
        <v>0.05</v>
      </c>
      <c r="K422" s="8">
        <v>3595.74</v>
      </c>
      <c r="L422">
        <v>3415.95</v>
      </c>
      <c r="M422" s="8">
        <v>1154.81</v>
      </c>
      <c r="N422" s="8">
        <v>2261.14</v>
      </c>
      <c r="O422" t="s">
        <v>43</v>
      </c>
      <c r="P422" t="str">
        <f>UPPER(TRIM(SalesData[[#This Row],[Payment Mode]]))</f>
        <v>UPI</v>
      </c>
    </row>
    <row r="423" spans="1:16" x14ac:dyDescent="0.35">
      <c r="A423" s="4" t="s">
        <v>497</v>
      </c>
      <c r="B423" s="6">
        <v>45970</v>
      </c>
      <c r="C423" t="s">
        <v>64</v>
      </c>
      <c r="D423" t="str">
        <f>TRIM(SalesData[[#This Row],[Customer Name]])</f>
        <v>Neha Jadhav</v>
      </c>
      <c r="E423" t="s">
        <v>16</v>
      </c>
      <c r="F423" t="s">
        <v>16</v>
      </c>
      <c r="G423" t="s">
        <v>35</v>
      </c>
      <c r="H423" t="s">
        <v>36</v>
      </c>
      <c r="I423" s="10">
        <v>2</v>
      </c>
      <c r="J423" s="12">
        <v>0.05</v>
      </c>
      <c r="K423" s="8">
        <v>1152.79</v>
      </c>
      <c r="L423">
        <v>2190.3000000000002</v>
      </c>
      <c r="M423" s="8">
        <v>674.8</v>
      </c>
      <c r="N423" s="8">
        <v>1515.5</v>
      </c>
      <c r="O423" t="s">
        <v>37</v>
      </c>
      <c r="P423" t="str">
        <f>UPPER(TRIM(SalesData[[#This Row],[Payment Mode]]))</f>
        <v>DEBIT CARD</v>
      </c>
    </row>
    <row r="424" spans="1:16" x14ac:dyDescent="0.35">
      <c r="A424" s="4" t="s">
        <v>498</v>
      </c>
      <c r="B424" s="6">
        <v>45970</v>
      </c>
      <c r="C424" t="s">
        <v>116</v>
      </c>
      <c r="D424" t="str">
        <f>TRIM(SalesData[[#This Row],[Customer Name]])</f>
        <v>Sneha Kulkarni</v>
      </c>
      <c r="E424" t="s">
        <v>86</v>
      </c>
      <c r="F424" t="s">
        <v>87</v>
      </c>
      <c r="G424" t="s">
        <v>17</v>
      </c>
      <c r="H424" t="s">
        <v>18</v>
      </c>
      <c r="I424" s="10">
        <v>2</v>
      </c>
      <c r="J424" s="12">
        <v>0.1</v>
      </c>
      <c r="K424" s="8">
        <v>12440.49</v>
      </c>
      <c r="L424">
        <v>22392.880000000001</v>
      </c>
      <c r="M424" s="8">
        <v>13537.22</v>
      </c>
      <c r="N424" s="8">
        <v>8855.66</v>
      </c>
      <c r="O424" t="s">
        <v>26</v>
      </c>
      <c r="P424" t="str">
        <f>UPPER(TRIM(SalesData[[#This Row],[Payment Mode]]))</f>
        <v>NET BANKING</v>
      </c>
    </row>
    <row r="425" spans="1:16" x14ac:dyDescent="0.35">
      <c r="A425" s="4" t="s">
        <v>499</v>
      </c>
      <c r="B425" s="6">
        <v>45971</v>
      </c>
      <c r="C425" t="s">
        <v>56</v>
      </c>
      <c r="D425" t="str">
        <f>TRIM(SalesData[[#This Row],[Customer Name]])</f>
        <v>Pooja Shinde</v>
      </c>
      <c r="E425" t="s">
        <v>22</v>
      </c>
      <c r="F425" t="s">
        <v>23</v>
      </c>
      <c r="G425" t="s">
        <v>41</v>
      </c>
      <c r="H425" t="s">
        <v>42</v>
      </c>
      <c r="I425" s="10">
        <v>1</v>
      </c>
      <c r="J425" s="12">
        <v>0.1</v>
      </c>
      <c r="K425" s="8">
        <v>1723.76</v>
      </c>
      <c r="L425">
        <v>1551.38</v>
      </c>
      <c r="M425" s="8">
        <v>684.56</v>
      </c>
      <c r="N425" s="8">
        <v>866.82</v>
      </c>
      <c r="O425" t="s">
        <v>26</v>
      </c>
      <c r="P425" t="str">
        <f>UPPER(TRIM(SalesData[[#This Row],[Payment Mode]]))</f>
        <v>NET BANKING</v>
      </c>
    </row>
    <row r="426" spans="1:16" x14ac:dyDescent="0.35">
      <c r="A426" s="4" t="s">
        <v>500</v>
      </c>
      <c r="B426" s="6">
        <v>45972</v>
      </c>
      <c r="C426" t="s">
        <v>80</v>
      </c>
      <c r="D426" t="str">
        <f>TRIM(SalesData[[#This Row],[Customer Name]])</f>
        <v>Sagar Mane</v>
      </c>
      <c r="E426" t="s">
        <v>22</v>
      </c>
      <c r="F426" t="s">
        <v>23</v>
      </c>
      <c r="G426" t="s">
        <v>47</v>
      </c>
      <c r="H426" t="s">
        <v>25</v>
      </c>
      <c r="I426" s="10">
        <v>3</v>
      </c>
      <c r="J426" s="12">
        <v>0</v>
      </c>
      <c r="K426" s="8">
        <v>5902.47</v>
      </c>
      <c r="L426">
        <v>17707.41</v>
      </c>
      <c r="M426" s="8">
        <v>7799.73</v>
      </c>
      <c r="N426" s="8">
        <v>9907.68</v>
      </c>
      <c r="O426" t="s">
        <v>26</v>
      </c>
      <c r="P426" t="str">
        <f>UPPER(TRIM(SalesData[[#This Row],[Payment Mode]]))</f>
        <v>NET BANKING</v>
      </c>
    </row>
    <row r="427" spans="1:16" x14ac:dyDescent="0.35">
      <c r="A427" s="4" t="s">
        <v>501</v>
      </c>
      <c r="B427" s="6">
        <v>45973</v>
      </c>
      <c r="C427" t="s">
        <v>59</v>
      </c>
      <c r="D427" t="str">
        <f>TRIM(SalesData[[#This Row],[Customer Name]])</f>
        <v>Rohan Deshmukh</v>
      </c>
      <c r="E427" t="s">
        <v>105</v>
      </c>
      <c r="F427" t="s">
        <v>106</v>
      </c>
      <c r="G427" t="s">
        <v>65</v>
      </c>
      <c r="H427" t="s">
        <v>18</v>
      </c>
      <c r="I427" s="10">
        <v>4</v>
      </c>
      <c r="J427" s="12">
        <v>0</v>
      </c>
      <c r="K427" s="8">
        <v>22652.959999999999</v>
      </c>
      <c r="L427">
        <v>90611.839999999997</v>
      </c>
      <c r="M427" s="8">
        <v>54847.360000000001</v>
      </c>
      <c r="N427" s="8">
        <v>35764.480000000003</v>
      </c>
      <c r="O427" t="s">
        <v>19</v>
      </c>
      <c r="P427" t="str">
        <f>UPPER(TRIM(SalesData[[#This Row],[Payment Mode]]))</f>
        <v>CASH</v>
      </c>
    </row>
    <row r="428" spans="1:16" x14ac:dyDescent="0.35">
      <c r="A428" s="4" t="s">
        <v>502</v>
      </c>
      <c r="B428" s="6">
        <v>45973</v>
      </c>
      <c r="C428" t="s">
        <v>67</v>
      </c>
      <c r="D428" t="str">
        <f>TRIM(SalesData[[#This Row],[Customer Name]])</f>
        <v>Anjali Chavan</v>
      </c>
      <c r="E428" t="s">
        <v>28</v>
      </c>
      <c r="F428" t="s">
        <v>23</v>
      </c>
      <c r="G428" t="s">
        <v>35</v>
      </c>
      <c r="H428" t="s">
        <v>36</v>
      </c>
      <c r="I428" s="10">
        <v>4</v>
      </c>
      <c r="J428" s="12">
        <v>0.05</v>
      </c>
      <c r="K428" s="8">
        <v>1153.92</v>
      </c>
      <c r="L428">
        <v>4384.8999999999996</v>
      </c>
      <c r="M428" s="8">
        <v>1335.92</v>
      </c>
      <c r="N428" s="8">
        <v>3048.98</v>
      </c>
      <c r="O428" t="s">
        <v>26</v>
      </c>
      <c r="P428" t="str">
        <f>UPPER(TRIM(SalesData[[#This Row],[Payment Mode]]))</f>
        <v>NET BANKING</v>
      </c>
    </row>
    <row r="429" spans="1:16" x14ac:dyDescent="0.35">
      <c r="A429" s="4" t="s">
        <v>503</v>
      </c>
      <c r="B429" s="6">
        <v>45973</v>
      </c>
      <c r="C429" t="s">
        <v>15</v>
      </c>
      <c r="D429" t="str">
        <f>TRIM(SalesData[[#This Row],[Customer Name]])</f>
        <v>Isha Bhosale</v>
      </c>
      <c r="E429" t="s">
        <v>86</v>
      </c>
      <c r="F429" t="s">
        <v>87</v>
      </c>
      <c r="G429" t="s">
        <v>77</v>
      </c>
      <c r="H429" t="s">
        <v>25</v>
      </c>
      <c r="I429" s="10">
        <v>1</v>
      </c>
      <c r="J429" s="12">
        <v>0</v>
      </c>
      <c r="K429" s="8">
        <v>7811.32</v>
      </c>
      <c r="L429">
        <v>7811.32</v>
      </c>
      <c r="M429" s="8">
        <v>3511.56</v>
      </c>
      <c r="N429" s="8">
        <v>4299.76</v>
      </c>
      <c r="O429" t="s">
        <v>19</v>
      </c>
      <c r="P429" t="str">
        <f>UPPER(TRIM(SalesData[[#This Row],[Payment Mode]]))</f>
        <v>CASH</v>
      </c>
    </row>
    <row r="430" spans="1:16" x14ac:dyDescent="0.35">
      <c r="A430" s="4" t="s">
        <v>504</v>
      </c>
      <c r="B430" s="6">
        <v>45974</v>
      </c>
      <c r="C430" t="s">
        <v>62</v>
      </c>
      <c r="D430" t="str">
        <f>TRIM(SalesData[[#This Row],[Customer Name]])</f>
        <v>Vivek More</v>
      </c>
      <c r="E430" t="s">
        <v>40</v>
      </c>
      <c r="F430" t="s">
        <v>23</v>
      </c>
      <c r="G430" t="s">
        <v>17</v>
      </c>
      <c r="H430" t="s">
        <v>18</v>
      </c>
      <c r="I430" s="10">
        <v>1</v>
      </c>
      <c r="J430" s="12">
        <v>0.05</v>
      </c>
      <c r="K430" s="8">
        <v>12529.34</v>
      </c>
      <c r="L430">
        <v>11902.87</v>
      </c>
      <c r="M430" s="8">
        <v>6744.61</v>
      </c>
      <c r="N430" s="8">
        <v>5158.26</v>
      </c>
      <c r="O430" t="s">
        <v>37</v>
      </c>
      <c r="P430" t="str">
        <f>UPPER(TRIM(SalesData[[#This Row],[Payment Mode]]))</f>
        <v>DEBIT CARD</v>
      </c>
    </row>
    <row r="431" spans="1:16" x14ac:dyDescent="0.35">
      <c r="A431" s="4" t="s">
        <v>505</v>
      </c>
      <c r="B431" s="6">
        <v>45974</v>
      </c>
      <c r="C431" t="s">
        <v>30</v>
      </c>
      <c r="D431" t="str">
        <f>TRIM(SalesData[[#This Row],[Customer Name]])</f>
        <v>Swati Kale</v>
      </c>
      <c r="E431" t="s">
        <v>28</v>
      </c>
      <c r="F431" t="s">
        <v>23</v>
      </c>
      <c r="G431" t="s">
        <v>35</v>
      </c>
      <c r="H431" t="s">
        <v>36</v>
      </c>
      <c r="I431" s="10">
        <v>3</v>
      </c>
      <c r="J431" s="12">
        <v>0</v>
      </c>
      <c r="K431" s="8">
        <v>1182.01</v>
      </c>
      <c r="L431">
        <v>3546.03</v>
      </c>
      <c r="M431" s="8">
        <v>1065.24</v>
      </c>
      <c r="N431" s="8">
        <v>2480.79</v>
      </c>
      <c r="O431" t="s">
        <v>37</v>
      </c>
      <c r="P431" t="str">
        <f>UPPER(TRIM(SalesData[[#This Row],[Payment Mode]]))</f>
        <v>DEBIT CARD</v>
      </c>
    </row>
    <row r="432" spans="1:16" x14ac:dyDescent="0.35">
      <c r="A432" s="4" t="s">
        <v>506</v>
      </c>
      <c r="B432" s="6">
        <v>45974</v>
      </c>
      <c r="C432" t="s">
        <v>116</v>
      </c>
      <c r="D432" t="str">
        <f>TRIM(SalesData[[#This Row],[Customer Name]])</f>
        <v>Sneha Kulkarni</v>
      </c>
      <c r="E432" t="s">
        <v>46</v>
      </c>
      <c r="F432" t="s">
        <v>23</v>
      </c>
      <c r="G432" t="s">
        <v>47</v>
      </c>
      <c r="H432" t="s">
        <v>25</v>
      </c>
      <c r="I432" s="10">
        <v>1</v>
      </c>
      <c r="J432" s="12">
        <v>0</v>
      </c>
      <c r="K432" s="8">
        <v>6223.65</v>
      </c>
      <c r="L432">
        <v>6223.65</v>
      </c>
      <c r="M432" s="8">
        <v>2403.15</v>
      </c>
      <c r="N432" s="8">
        <v>3820.5</v>
      </c>
      <c r="O432" t="s">
        <v>43</v>
      </c>
      <c r="P432" t="str">
        <f>UPPER(TRIM(SalesData[[#This Row],[Payment Mode]]))</f>
        <v>UPI</v>
      </c>
    </row>
    <row r="433" spans="1:16" x14ac:dyDescent="0.35">
      <c r="A433" s="4" t="s">
        <v>507</v>
      </c>
      <c r="B433" s="6">
        <v>45975</v>
      </c>
      <c r="C433" t="s">
        <v>21</v>
      </c>
      <c r="D433" t="str">
        <f>TRIM(SalesData[[#This Row],[Customer Name]])</f>
        <v>Aarav Sharma</v>
      </c>
      <c r="E433" t="s">
        <v>31</v>
      </c>
      <c r="F433" t="s">
        <v>23</v>
      </c>
      <c r="G433" t="s">
        <v>107</v>
      </c>
      <c r="H433" t="s">
        <v>36</v>
      </c>
      <c r="I433" s="10">
        <v>3</v>
      </c>
      <c r="J433" s="12">
        <v>0</v>
      </c>
      <c r="K433" s="8">
        <v>1721.25</v>
      </c>
      <c r="L433">
        <v>5163.75</v>
      </c>
      <c r="M433" s="8">
        <v>1792.62</v>
      </c>
      <c r="N433" s="8">
        <v>3371.13</v>
      </c>
      <c r="O433" t="s">
        <v>37</v>
      </c>
      <c r="P433" t="str">
        <f>UPPER(TRIM(SalesData[[#This Row],[Payment Mode]]))</f>
        <v>DEBIT CARD</v>
      </c>
    </row>
    <row r="434" spans="1:16" x14ac:dyDescent="0.35">
      <c r="A434" s="4" t="s">
        <v>508</v>
      </c>
      <c r="B434" s="6">
        <v>45975</v>
      </c>
      <c r="C434" t="s">
        <v>39</v>
      </c>
      <c r="D434" t="str">
        <f>TRIM(SalesData[[#This Row],[Customer Name]])</f>
        <v>Akash Wagh</v>
      </c>
      <c r="E434" t="s">
        <v>28</v>
      </c>
      <c r="F434" t="s">
        <v>23</v>
      </c>
      <c r="G434" t="s">
        <v>47</v>
      </c>
      <c r="H434" t="s">
        <v>25</v>
      </c>
      <c r="I434" s="10">
        <v>3</v>
      </c>
      <c r="J434" s="12">
        <v>0</v>
      </c>
      <c r="K434" s="8">
        <v>6011.27</v>
      </c>
      <c r="L434">
        <v>18033.810000000001</v>
      </c>
      <c r="M434" s="8">
        <v>7652.25</v>
      </c>
      <c r="N434" s="8">
        <v>10381.56</v>
      </c>
      <c r="O434" t="s">
        <v>48</v>
      </c>
      <c r="P434" t="str">
        <f>UPPER(TRIM(SalesData[[#This Row],[Payment Mode]]))</f>
        <v>CREDIT CARD</v>
      </c>
    </row>
    <row r="435" spans="1:16" x14ac:dyDescent="0.35">
      <c r="A435" s="4" t="s">
        <v>509</v>
      </c>
      <c r="B435" s="6">
        <v>45975</v>
      </c>
      <c r="C435" t="s">
        <v>62</v>
      </c>
      <c r="D435" t="str">
        <f>TRIM(SalesData[[#This Row],[Customer Name]])</f>
        <v>Vivek More</v>
      </c>
      <c r="E435" t="s">
        <v>40</v>
      </c>
      <c r="F435" t="s">
        <v>23</v>
      </c>
      <c r="G435" t="s">
        <v>77</v>
      </c>
      <c r="H435" t="s">
        <v>25</v>
      </c>
      <c r="I435" s="10">
        <v>3</v>
      </c>
      <c r="J435" s="12">
        <v>0</v>
      </c>
      <c r="K435" s="8">
        <v>7183.84</v>
      </c>
      <c r="L435">
        <v>21551.52</v>
      </c>
      <c r="M435" s="8">
        <v>10001.61</v>
      </c>
      <c r="N435" s="8">
        <v>11549.91</v>
      </c>
      <c r="O435" t="s">
        <v>19</v>
      </c>
      <c r="P435" t="str">
        <f>UPPER(TRIM(SalesData[[#This Row],[Payment Mode]]))</f>
        <v>CASH</v>
      </c>
    </row>
    <row r="436" spans="1:16" x14ac:dyDescent="0.35">
      <c r="A436" s="4" t="s">
        <v>510</v>
      </c>
      <c r="B436" s="6">
        <v>45976</v>
      </c>
      <c r="C436" t="s">
        <v>50</v>
      </c>
      <c r="D436" t="str">
        <f>TRIM(SalesData[[#This Row],[Customer Name]])</f>
        <v>Priya Patil</v>
      </c>
      <c r="E436" t="s">
        <v>73</v>
      </c>
      <c r="F436" t="s">
        <v>74</v>
      </c>
      <c r="G436" t="s">
        <v>41</v>
      </c>
      <c r="H436" t="s">
        <v>42</v>
      </c>
      <c r="I436" s="10">
        <v>1</v>
      </c>
      <c r="J436" s="12">
        <v>0.05</v>
      </c>
      <c r="K436" s="8">
        <v>1754.56</v>
      </c>
      <c r="L436">
        <v>1666.83</v>
      </c>
      <c r="M436" s="8">
        <v>704.09</v>
      </c>
      <c r="N436" s="8">
        <v>962.74</v>
      </c>
      <c r="O436" t="s">
        <v>37</v>
      </c>
      <c r="P436" t="str">
        <f>UPPER(TRIM(SalesData[[#This Row],[Payment Mode]]))</f>
        <v>DEBIT CARD</v>
      </c>
    </row>
    <row r="437" spans="1:16" x14ac:dyDescent="0.35">
      <c r="A437" s="4" t="s">
        <v>511</v>
      </c>
      <c r="B437" s="6">
        <v>45976</v>
      </c>
      <c r="C437" t="s">
        <v>34</v>
      </c>
      <c r="D437" t="str">
        <f>TRIM(SalesData[[#This Row],[Customer Name]])</f>
        <v>Meera Desai</v>
      </c>
      <c r="E437" t="s">
        <v>53</v>
      </c>
      <c r="F437" t="s">
        <v>54</v>
      </c>
      <c r="G437" t="s">
        <v>101</v>
      </c>
      <c r="H437" t="s">
        <v>18</v>
      </c>
      <c r="I437" s="10">
        <v>2</v>
      </c>
      <c r="J437" s="12">
        <v>0.1</v>
      </c>
      <c r="K437" s="8">
        <v>17566.169999999998</v>
      </c>
      <c r="L437">
        <v>31619.11</v>
      </c>
      <c r="M437" s="8">
        <v>16141.68</v>
      </c>
      <c r="N437" s="8">
        <v>15477.43</v>
      </c>
      <c r="O437" t="s">
        <v>37</v>
      </c>
      <c r="P437" t="str">
        <f>UPPER(TRIM(SalesData[[#This Row],[Payment Mode]]))</f>
        <v>DEBIT CARD</v>
      </c>
    </row>
    <row r="438" spans="1:16" x14ac:dyDescent="0.35">
      <c r="A438" s="4" t="s">
        <v>512</v>
      </c>
      <c r="B438" s="6">
        <v>45976</v>
      </c>
      <c r="C438" t="s">
        <v>89</v>
      </c>
      <c r="D438" t="str">
        <f>TRIM(SalesData[[#This Row],[Customer Name]])</f>
        <v>Kunal Thakur</v>
      </c>
      <c r="E438" t="s">
        <v>28</v>
      </c>
      <c r="F438" t="s">
        <v>23</v>
      </c>
      <c r="G438" t="s">
        <v>107</v>
      </c>
      <c r="H438" t="s">
        <v>36</v>
      </c>
      <c r="I438" s="10">
        <v>5</v>
      </c>
      <c r="J438" s="12">
        <v>0</v>
      </c>
      <c r="K438" s="8">
        <v>1743.54</v>
      </c>
      <c r="L438">
        <v>8717.7000000000007</v>
      </c>
      <c r="M438" s="8">
        <v>3101.25</v>
      </c>
      <c r="N438" s="8">
        <v>5616.45</v>
      </c>
      <c r="O438" t="s">
        <v>26</v>
      </c>
      <c r="P438" t="str">
        <f>UPPER(TRIM(SalesData[[#This Row],[Payment Mode]]))</f>
        <v>NET BANKING</v>
      </c>
    </row>
    <row r="439" spans="1:16" x14ac:dyDescent="0.35">
      <c r="A439" s="4" t="s">
        <v>513</v>
      </c>
      <c r="B439" s="6">
        <v>45979</v>
      </c>
      <c r="C439" t="s">
        <v>15</v>
      </c>
      <c r="D439" t="str">
        <f>TRIM(SalesData[[#This Row],[Customer Name]])</f>
        <v>Isha Bhosale</v>
      </c>
      <c r="E439" t="s">
        <v>46</v>
      </c>
      <c r="F439" t="s">
        <v>23</v>
      </c>
      <c r="G439" t="s">
        <v>24</v>
      </c>
      <c r="H439" t="s">
        <v>25</v>
      </c>
      <c r="I439" s="10">
        <v>3</v>
      </c>
      <c r="J439" s="12">
        <v>0.05</v>
      </c>
      <c r="K439" s="8">
        <v>8919.36</v>
      </c>
      <c r="L439">
        <v>25420.18</v>
      </c>
      <c r="M439" s="8">
        <v>14151.21</v>
      </c>
      <c r="N439" s="8">
        <v>11268.97</v>
      </c>
      <c r="O439" t="s">
        <v>19</v>
      </c>
      <c r="P439" t="str">
        <f>UPPER(TRIM(SalesData[[#This Row],[Payment Mode]]))</f>
        <v>CASH</v>
      </c>
    </row>
    <row r="440" spans="1:16" x14ac:dyDescent="0.35">
      <c r="A440" s="4" t="s">
        <v>514</v>
      </c>
      <c r="B440" s="6">
        <v>45979</v>
      </c>
      <c r="C440" t="s">
        <v>80</v>
      </c>
      <c r="D440" t="str">
        <f>TRIM(SalesData[[#This Row],[Customer Name]])</f>
        <v>Sagar Mane</v>
      </c>
      <c r="E440" t="s">
        <v>22</v>
      </c>
      <c r="F440" t="s">
        <v>23</v>
      </c>
      <c r="G440" t="s">
        <v>41</v>
      </c>
      <c r="H440" t="s">
        <v>42</v>
      </c>
      <c r="I440" s="10">
        <v>4</v>
      </c>
      <c r="J440" s="12">
        <v>0.1</v>
      </c>
      <c r="K440" s="8">
        <v>1808.21</v>
      </c>
      <c r="L440">
        <v>6509.56</v>
      </c>
      <c r="M440" s="8">
        <v>2934.88</v>
      </c>
      <c r="N440" s="8">
        <v>3574.68</v>
      </c>
      <c r="O440" t="s">
        <v>26</v>
      </c>
      <c r="P440" t="str">
        <f>UPPER(TRIM(SalesData[[#This Row],[Payment Mode]]))</f>
        <v>NET BANKING</v>
      </c>
    </row>
    <row r="441" spans="1:16" x14ac:dyDescent="0.35">
      <c r="A441" s="4" t="s">
        <v>515</v>
      </c>
      <c r="B441" s="6">
        <v>45981</v>
      </c>
      <c r="C441" t="s">
        <v>34</v>
      </c>
      <c r="D441" t="str">
        <f>TRIM(SalesData[[#This Row],[Customer Name]])</f>
        <v>Meera Desai</v>
      </c>
      <c r="E441" t="s">
        <v>83</v>
      </c>
      <c r="F441" t="s">
        <v>23</v>
      </c>
      <c r="G441" t="s">
        <v>32</v>
      </c>
      <c r="H441" t="s">
        <v>18</v>
      </c>
      <c r="I441" s="10">
        <v>1</v>
      </c>
      <c r="J441" s="12">
        <v>0.15</v>
      </c>
      <c r="K441" s="8">
        <v>52870.22</v>
      </c>
      <c r="L441">
        <v>44939.69</v>
      </c>
      <c r="M441" s="8">
        <v>39943.800000000003</v>
      </c>
      <c r="N441" s="8">
        <v>4995.8900000000003</v>
      </c>
      <c r="O441" t="s">
        <v>43</v>
      </c>
      <c r="P441" t="str">
        <f>UPPER(TRIM(SalesData[[#This Row],[Payment Mode]]))</f>
        <v>UPI</v>
      </c>
    </row>
    <row r="442" spans="1:16" x14ac:dyDescent="0.35">
      <c r="A442" s="4" t="s">
        <v>516</v>
      </c>
      <c r="B442" s="6">
        <v>45981</v>
      </c>
      <c r="C442" t="s">
        <v>45</v>
      </c>
      <c r="D442" t="str">
        <f>TRIM(SalesData[[#This Row],[Customer Name]])</f>
        <v>Nikhil Gupta</v>
      </c>
      <c r="E442" t="s">
        <v>73</v>
      </c>
      <c r="F442" t="s">
        <v>74</v>
      </c>
      <c r="G442" t="s">
        <v>77</v>
      </c>
      <c r="H442" t="s">
        <v>25</v>
      </c>
      <c r="I442" s="10">
        <v>1</v>
      </c>
      <c r="J442" s="12">
        <v>0</v>
      </c>
      <c r="K442" s="8">
        <v>7570.35</v>
      </c>
      <c r="L442">
        <v>7570.35</v>
      </c>
      <c r="M442" s="8">
        <v>3336.48</v>
      </c>
      <c r="N442" s="8">
        <v>4233.87</v>
      </c>
      <c r="O442" t="s">
        <v>37</v>
      </c>
      <c r="P442" t="str">
        <f>UPPER(TRIM(SalesData[[#This Row],[Payment Mode]]))</f>
        <v>DEBIT CARD</v>
      </c>
    </row>
    <row r="443" spans="1:16" x14ac:dyDescent="0.35">
      <c r="A443" s="4" t="s">
        <v>517</v>
      </c>
      <c r="B443" s="6">
        <v>45981</v>
      </c>
      <c r="C443" t="s">
        <v>72</v>
      </c>
      <c r="D443" t="str">
        <f>TRIM(SalesData[[#This Row],[Customer Name]])</f>
        <v>Riya Shah</v>
      </c>
      <c r="E443" t="s">
        <v>22</v>
      </c>
      <c r="F443" t="s">
        <v>23</v>
      </c>
      <c r="G443" t="s">
        <v>107</v>
      </c>
      <c r="H443" t="s">
        <v>36</v>
      </c>
      <c r="I443" s="10">
        <v>1</v>
      </c>
      <c r="J443" s="12">
        <v>0</v>
      </c>
      <c r="K443" s="8">
        <v>1729.89</v>
      </c>
      <c r="L443">
        <v>1729.89</v>
      </c>
      <c r="M443" s="8">
        <v>591.28</v>
      </c>
      <c r="N443" s="8">
        <v>1138.6099999999999</v>
      </c>
      <c r="O443" t="s">
        <v>26</v>
      </c>
      <c r="P443" t="str">
        <f>UPPER(TRIM(SalesData[[#This Row],[Payment Mode]]))</f>
        <v>NET BANKING</v>
      </c>
    </row>
    <row r="444" spans="1:16" x14ac:dyDescent="0.35">
      <c r="A444" s="4" t="s">
        <v>518</v>
      </c>
      <c r="B444" s="6">
        <v>45981</v>
      </c>
      <c r="C444" t="s">
        <v>89</v>
      </c>
      <c r="D444" t="str">
        <f>TRIM(SalesData[[#This Row],[Customer Name]])</f>
        <v>Kunal Thakur</v>
      </c>
      <c r="E444" t="s">
        <v>46</v>
      </c>
      <c r="F444" t="s">
        <v>23</v>
      </c>
      <c r="G444" t="s">
        <v>77</v>
      </c>
      <c r="H444" t="s">
        <v>25</v>
      </c>
      <c r="I444" s="10">
        <v>2</v>
      </c>
      <c r="J444" s="12">
        <v>0</v>
      </c>
      <c r="K444" s="8">
        <v>7702.12</v>
      </c>
      <c r="L444">
        <v>15404.24</v>
      </c>
      <c r="M444" s="8">
        <v>6780.94</v>
      </c>
      <c r="N444" s="8">
        <v>8623.2999999999993</v>
      </c>
      <c r="O444" t="s">
        <v>19</v>
      </c>
      <c r="P444" t="str">
        <f>UPPER(TRIM(SalesData[[#This Row],[Payment Mode]]))</f>
        <v>CASH</v>
      </c>
    </row>
    <row r="445" spans="1:16" x14ac:dyDescent="0.35">
      <c r="A445" s="4" t="s">
        <v>519</v>
      </c>
      <c r="B445" s="6">
        <v>45981</v>
      </c>
      <c r="C445" t="s">
        <v>50</v>
      </c>
      <c r="D445" t="str">
        <f>TRIM(SalesData[[#This Row],[Customer Name]])</f>
        <v>Priya Patil</v>
      </c>
      <c r="E445" t="s">
        <v>73</v>
      </c>
      <c r="F445" t="s">
        <v>74</v>
      </c>
      <c r="G445" t="s">
        <v>41</v>
      </c>
      <c r="H445" t="s">
        <v>42</v>
      </c>
      <c r="I445" s="10">
        <v>1</v>
      </c>
      <c r="J445" s="12">
        <v>0.1</v>
      </c>
      <c r="K445" s="8">
        <v>1850.83</v>
      </c>
      <c r="L445">
        <v>1665.75</v>
      </c>
      <c r="M445" s="8">
        <v>704.69</v>
      </c>
      <c r="N445" s="8">
        <v>961.06</v>
      </c>
      <c r="O445" t="s">
        <v>26</v>
      </c>
      <c r="P445" t="str">
        <f>UPPER(TRIM(SalesData[[#This Row],[Payment Mode]]))</f>
        <v>NET BANKING</v>
      </c>
    </row>
    <row r="446" spans="1:16" x14ac:dyDescent="0.35">
      <c r="A446" s="4" t="s">
        <v>520</v>
      </c>
      <c r="B446" s="6">
        <v>45981</v>
      </c>
      <c r="C446" t="s">
        <v>59</v>
      </c>
      <c r="D446" t="str">
        <f>TRIM(SalesData[[#This Row],[Customer Name]])</f>
        <v>Rohan Deshmukh</v>
      </c>
      <c r="E446" t="s">
        <v>73</v>
      </c>
      <c r="F446" t="s">
        <v>74</v>
      </c>
      <c r="G446" t="s">
        <v>107</v>
      </c>
      <c r="H446" t="s">
        <v>36</v>
      </c>
      <c r="I446" s="10">
        <v>3</v>
      </c>
      <c r="J446" s="12">
        <v>0.05</v>
      </c>
      <c r="K446" s="8">
        <v>1842.76</v>
      </c>
      <c r="L446">
        <v>5251.87</v>
      </c>
      <c r="M446" s="8">
        <v>1804.53</v>
      </c>
      <c r="N446" s="8">
        <v>3447.34</v>
      </c>
      <c r="O446" t="s">
        <v>43</v>
      </c>
      <c r="P446" t="str">
        <f>UPPER(TRIM(SalesData[[#This Row],[Payment Mode]]))</f>
        <v>UPI</v>
      </c>
    </row>
    <row r="447" spans="1:16" x14ac:dyDescent="0.35">
      <c r="A447" s="4" t="s">
        <v>521</v>
      </c>
      <c r="B447" s="6">
        <v>45982</v>
      </c>
      <c r="C447" t="s">
        <v>30</v>
      </c>
      <c r="D447" t="str">
        <f>TRIM(SalesData[[#This Row],[Customer Name]])</f>
        <v>Swati Kale</v>
      </c>
      <c r="E447" t="s">
        <v>40</v>
      </c>
      <c r="F447" t="s">
        <v>23</v>
      </c>
      <c r="G447" t="s">
        <v>32</v>
      </c>
      <c r="H447" t="s">
        <v>18</v>
      </c>
      <c r="I447" s="10">
        <v>4</v>
      </c>
      <c r="J447" s="12">
        <v>0.05</v>
      </c>
      <c r="K447" s="8">
        <v>54576.28</v>
      </c>
      <c r="L447">
        <v>207389.86</v>
      </c>
      <c r="M447" s="8">
        <v>173975.67999999999</v>
      </c>
      <c r="N447" s="8">
        <v>33414.18</v>
      </c>
      <c r="O447" t="s">
        <v>19</v>
      </c>
      <c r="P447" t="str">
        <f>UPPER(TRIM(SalesData[[#This Row],[Payment Mode]]))</f>
        <v>CASH</v>
      </c>
    </row>
    <row r="448" spans="1:16" x14ac:dyDescent="0.35">
      <c r="A448" s="4" t="s">
        <v>522</v>
      </c>
      <c r="B448" s="6">
        <v>45983</v>
      </c>
      <c r="C448" t="s">
        <v>15</v>
      </c>
      <c r="D448" t="str">
        <f>TRIM(SalesData[[#This Row],[Customer Name]])</f>
        <v>Isha Bhosale</v>
      </c>
      <c r="E448" t="s">
        <v>53</v>
      </c>
      <c r="F448" t="s">
        <v>54</v>
      </c>
      <c r="G448" t="s">
        <v>60</v>
      </c>
      <c r="H448" t="s">
        <v>36</v>
      </c>
      <c r="I448" s="10">
        <v>2</v>
      </c>
      <c r="J448" s="12">
        <v>0.05</v>
      </c>
      <c r="K448" s="8">
        <v>3610.23</v>
      </c>
      <c r="L448">
        <v>6859.44</v>
      </c>
      <c r="M448" s="8">
        <v>2466.7199999999998</v>
      </c>
      <c r="N448" s="8">
        <v>4392.72</v>
      </c>
      <c r="O448" t="s">
        <v>48</v>
      </c>
      <c r="P448" t="str">
        <f>UPPER(TRIM(SalesData[[#This Row],[Payment Mode]]))</f>
        <v>CREDIT CARD</v>
      </c>
    </row>
    <row r="449" spans="1:16" x14ac:dyDescent="0.35">
      <c r="A449" s="4" t="s">
        <v>523</v>
      </c>
      <c r="B449" s="6">
        <v>45983</v>
      </c>
      <c r="C449" t="s">
        <v>21</v>
      </c>
      <c r="D449" t="str">
        <f>TRIM(SalesData[[#This Row],[Customer Name]])</f>
        <v>Aarav Sharma</v>
      </c>
      <c r="E449" t="s">
        <v>46</v>
      </c>
      <c r="F449" t="s">
        <v>23</v>
      </c>
      <c r="G449" t="s">
        <v>17</v>
      </c>
      <c r="H449" t="s">
        <v>18</v>
      </c>
      <c r="I449" s="10">
        <v>3</v>
      </c>
      <c r="J449" s="12">
        <v>0</v>
      </c>
      <c r="K449" s="8">
        <v>11602.72</v>
      </c>
      <c r="L449">
        <v>34808.160000000003</v>
      </c>
      <c r="M449" s="8">
        <v>19068.240000000002</v>
      </c>
      <c r="N449" s="8">
        <v>15739.92</v>
      </c>
      <c r="O449" t="s">
        <v>26</v>
      </c>
      <c r="P449" t="str">
        <f>UPPER(TRIM(SalesData[[#This Row],[Payment Mode]]))</f>
        <v>NET BANKING</v>
      </c>
    </row>
    <row r="450" spans="1:16" x14ac:dyDescent="0.35">
      <c r="A450" s="4" t="s">
        <v>524</v>
      </c>
      <c r="B450" s="6">
        <v>45985</v>
      </c>
      <c r="C450" t="s">
        <v>59</v>
      </c>
      <c r="D450" t="str">
        <f>TRIM(SalesData[[#This Row],[Customer Name]])</f>
        <v>Rohan Deshmukh</v>
      </c>
      <c r="E450" t="s">
        <v>83</v>
      </c>
      <c r="F450" t="s">
        <v>23</v>
      </c>
      <c r="G450" t="s">
        <v>101</v>
      </c>
      <c r="H450" t="s">
        <v>18</v>
      </c>
      <c r="I450" s="10">
        <v>3</v>
      </c>
      <c r="J450" s="12">
        <v>0</v>
      </c>
      <c r="K450" s="8">
        <v>17904.7</v>
      </c>
      <c r="L450">
        <v>53714.1</v>
      </c>
      <c r="M450" s="8">
        <v>23904.87</v>
      </c>
      <c r="N450" s="8">
        <v>29809.23</v>
      </c>
      <c r="O450" t="s">
        <v>37</v>
      </c>
      <c r="P450" t="str">
        <f>UPPER(TRIM(SalesData[[#This Row],[Payment Mode]]))</f>
        <v>DEBIT CARD</v>
      </c>
    </row>
    <row r="451" spans="1:16" x14ac:dyDescent="0.35">
      <c r="A451" s="4" t="s">
        <v>525</v>
      </c>
      <c r="B451" s="6">
        <v>45985</v>
      </c>
      <c r="C451" t="s">
        <v>67</v>
      </c>
      <c r="D451" t="str">
        <f>TRIM(SalesData[[#This Row],[Customer Name]])</f>
        <v>Anjali Chavan</v>
      </c>
      <c r="E451" t="s">
        <v>40</v>
      </c>
      <c r="F451" t="s">
        <v>23</v>
      </c>
      <c r="G451" t="s">
        <v>101</v>
      </c>
      <c r="H451" t="s">
        <v>18</v>
      </c>
      <c r="I451" s="10">
        <v>4</v>
      </c>
      <c r="J451" s="12">
        <v>0</v>
      </c>
      <c r="K451" s="8">
        <v>18753.75</v>
      </c>
      <c r="L451">
        <v>75015</v>
      </c>
      <c r="M451" s="8">
        <v>32928.28</v>
      </c>
      <c r="N451" s="8">
        <v>42086.720000000001</v>
      </c>
      <c r="O451" t="s">
        <v>43</v>
      </c>
      <c r="P451" t="str">
        <f>UPPER(TRIM(SalesData[[#This Row],[Payment Mode]]))</f>
        <v>UPI</v>
      </c>
    </row>
    <row r="452" spans="1:16" x14ac:dyDescent="0.35">
      <c r="A452" s="4" t="s">
        <v>526</v>
      </c>
      <c r="B452" s="6">
        <v>45985</v>
      </c>
      <c r="C452" t="s">
        <v>21</v>
      </c>
      <c r="D452" t="str">
        <f>TRIM(SalesData[[#This Row],[Customer Name]])</f>
        <v>Aarav Sharma</v>
      </c>
      <c r="E452" t="s">
        <v>83</v>
      </c>
      <c r="F452" t="s">
        <v>23</v>
      </c>
      <c r="G452" t="s">
        <v>107</v>
      </c>
      <c r="H452" t="s">
        <v>36</v>
      </c>
      <c r="I452" s="10">
        <v>3</v>
      </c>
      <c r="J452" s="12">
        <v>0.1</v>
      </c>
      <c r="K452" s="8">
        <v>1886.74</v>
      </c>
      <c r="L452">
        <v>5094.2</v>
      </c>
      <c r="M452" s="8">
        <v>1823.04</v>
      </c>
      <c r="N452" s="8">
        <v>3271.16</v>
      </c>
      <c r="O452" t="s">
        <v>43</v>
      </c>
      <c r="P452" t="str">
        <f>UPPER(TRIM(SalesData[[#This Row],[Payment Mode]]))</f>
        <v>UPI</v>
      </c>
    </row>
    <row r="453" spans="1:16" x14ac:dyDescent="0.35">
      <c r="A453" s="4" t="s">
        <v>527</v>
      </c>
      <c r="B453" s="6">
        <v>45986</v>
      </c>
      <c r="C453" t="s">
        <v>116</v>
      </c>
      <c r="D453" t="str">
        <f>TRIM(SalesData[[#This Row],[Customer Name]])</f>
        <v>Sneha Kulkarni</v>
      </c>
      <c r="E453" t="s">
        <v>73</v>
      </c>
      <c r="F453" t="s">
        <v>74</v>
      </c>
      <c r="G453" t="s">
        <v>77</v>
      </c>
      <c r="H453" t="s">
        <v>25</v>
      </c>
      <c r="I453" s="10">
        <v>3</v>
      </c>
      <c r="J453" s="12">
        <v>0.1</v>
      </c>
      <c r="K453" s="8">
        <v>7293.33</v>
      </c>
      <c r="L453">
        <v>19691.990000000002</v>
      </c>
      <c r="M453" s="8">
        <v>10210.02</v>
      </c>
      <c r="N453" s="8">
        <v>9481.9699999999993</v>
      </c>
      <c r="O453" t="s">
        <v>26</v>
      </c>
      <c r="P453" t="str">
        <f>UPPER(TRIM(SalesData[[#This Row],[Payment Mode]]))</f>
        <v>NET BANKING</v>
      </c>
    </row>
    <row r="454" spans="1:16" x14ac:dyDescent="0.35">
      <c r="A454" s="4" t="s">
        <v>528</v>
      </c>
      <c r="B454" s="6">
        <v>45987</v>
      </c>
      <c r="C454" t="s">
        <v>21</v>
      </c>
      <c r="D454" t="str">
        <f>TRIM(SalesData[[#This Row],[Customer Name]])</f>
        <v>Aarav Sharma</v>
      </c>
      <c r="E454" t="s">
        <v>16</v>
      </c>
      <c r="F454" t="s">
        <v>16</v>
      </c>
      <c r="G454" t="s">
        <v>24</v>
      </c>
      <c r="H454" t="s">
        <v>25</v>
      </c>
      <c r="I454" s="10">
        <v>1</v>
      </c>
      <c r="J454" s="12">
        <v>0</v>
      </c>
      <c r="K454" s="8">
        <v>9062.9</v>
      </c>
      <c r="L454">
        <v>9062.9</v>
      </c>
      <c r="M454" s="8">
        <v>4618.1099999999997</v>
      </c>
      <c r="N454" s="8">
        <v>4444.79</v>
      </c>
      <c r="O454" t="s">
        <v>26</v>
      </c>
      <c r="P454" t="str">
        <f>UPPER(TRIM(SalesData[[#This Row],[Payment Mode]]))</f>
        <v>NET BANKING</v>
      </c>
    </row>
    <row r="455" spans="1:16" x14ac:dyDescent="0.35">
      <c r="A455" s="4" t="s">
        <v>529</v>
      </c>
      <c r="B455" s="6">
        <v>45989</v>
      </c>
      <c r="C455" t="s">
        <v>85</v>
      </c>
      <c r="D455" t="str">
        <f>TRIM(SalesData[[#This Row],[Customer Name]])</f>
        <v>Amit Verma</v>
      </c>
      <c r="E455" t="s">
        <v>73</v>
      </c>
      <c r="F455" t="s">
        <v>74</v>
      </c>
      <c r="G455" t="s">
        <v>60</v>
      </c>
      <c r="H455" t="s">
        <v>36</v>
      </c>
      <c r="I455" s="10">
        <v>3</v>
      </c>
      <c r="J455" s="12">
        <v>0.05</v>
      </c>
      <c r="K455" s="8">
        <v>3467.34</v>
      </c>
      <c r="L455">
        <v>9881.92</v>
      </c>
      <c r="M455" s="8">
        <v>3763.08</v>
      </c>
      <c r="N455" s="8">
        <v>6118.84</v>
      </c>
      <c r="O455" t="s">
        <v>26</v>
      </c>
      <c r="P455" t="str">
        <f>UPPER(TRIM(SalesData[[#This Row],[Payment Mode]]))</f>
        <v>NET BANKING</v>
      </c>
    </row>
    <row r="456" spans="1:16" x14ac:dyDescent="0.35">
      <c r="A456" s="4" t="s">
        <v>530</v>
      </c>
      <c r="B456" s="6">
        <v>45989</v>
      </c>
      <c r="C456" t="s">
        <v>168</v>
      </c>
      <c r="D456" t="str">
        <f>TRIM(SalesData[[#This Row],[Customer Name]])</f>
        <v>Kavita Singh</v>
      </c>
      <c r="E456" t="s">
        <v>73</v>
      </c>
      <c r="F456" t="s">
        <v>74</v>
      </c>
      <c r="G456" t="s">
        <v>32</v>
      </c>
      <c r="H456" t="s">
        <v>18</v>
      </c>
      <c r="I456" s="10">
        <v>1</v>
      </c>
      <c r="J456" s="12">
        <v>0.1</v>
      </c>
      <c r="K456" s="8">
        <v>49482.28</v>
      </c>
      <c r="L456">
        <v>44534.05</v>
      </c>
      <c r="M456" s="8">
        <v>42095.59</v>
      </c>
      <c r="N456" s="8">
        <v>2438.46</v>
      </c>
      <c r="O456" t="s">
        <v>37</v>
      </c>
      <c r="P456" t="str">
        <f>UPPER(TRIM(SalesData[[#This Row],[Payment Mode]]))</f>
        <v>DEBIT CARD</v>
      </c>
    </row>
    <row r="457" spans="1:16" x14ac:dyDescent="0.35">
      <c r="A457" s="4" t="s">
        <v>531</v>
      </c>
      <c r="B457" s="6">
        <v>45990</v>
      </c>
      <c r="C457" t="s">
        <v>34</v>
      </c>
      <c r="D457" t="str">
        <f>TRIM(SalesData[[#This Row],[Customer Name]])</f>
        <v>Meera Desai</v>
      </c>
      <c r="E457" t="s">
        <v>16</v>
      </c>
      <c r="F457" t="s">
        <v>16</v>
      </c>
      <c r="G457" t="s">
        <v>24</v>
      </c>
      <c r="H457" t="s">
        <v>25</v>
      </c>
      <c r="I457" s="10">
        <v>1</v>
      </c>
      <c r="J457" s="12">
        <v>0</v>
      </c>
      <c r="K457" s="8">
        <v>9157.8799999999992</v>
      </c>
      <c r="L457">
        <v>9157.8799999999992</v>
      </c>
      <c r="M457" s="8">
        <v>4295.18</v>
      </c>
      <c r="N457" s="8">
        <v>4862.7</v>
      </c>
      <c r="O457" t="s">
        <v>26</v>
      </c>
      <c r="P457" t="str">
        <f>UPPER(TRIM(SalesData[[#This Row],[Payment Mode]]))</f>
        <v>NET BANKING</v>
      </c>
    </row>
    <row r="458" spans="1:16" x14ac:dyDescent="0.35">
      <c r="A458" s="4" t="s">
        <v>532</v>
      </c>
      <c r="B458" s="6">
        <v>45991</v>
      </c>
      <c r="C458" t="s">
        <v>62</v>
      </c>
      <c r="D458" t="str">
        <f>TRIM(SalesData[[#This Row],[Customer Name]])</f>
        <v>Vivek More</v>
      </c>
      <c r="E458" t="s">
        <v>31</v>
      </c>
      <c r="F458" t="s">
        <v>23</v>
      </c>
      <c r="G458" t="s">
        <v>41</v>
      </c>
      <c r="H458" t="s">
        <v>42</v>
      </c>
      <c r="I458" s="10">
        <v>1</v>
      </c>
      <c r="J458" s="12">
        <v>0.05</v>
      </c>
      <c r="K458" s="8">
        <v>1764.23</v>
      </c>
      <c r="L458">
        <v>1676.02</v>
      </c>
      <c r="M458" s="8">
        <v>706.89</v>
      </c>
      <c r="N458" s="8">
        <v>969.13</v>
      </c>
      <c r="O458" t="s">
        <v>19</v>
      </c>
      <c r="P458" t="str">
        <f>UPPER(TRIM(SalesData[[#This Row],[Payment Mode]]))</f>
        <v>CASH</v>
      </c>
    </row>
    <row r="459" spans="1:16" x14ac:dyDescent="0.35">
      <c r="A459" s="4" t="s">
        <v>533</v>
      </c>
      <c r="B459" s="6">
        <v>45993</v>
      </c>
      <c r="C459" t="s">
        <v>62</v>
      </c>
      <c r="D459" t="str">
        <f>TRIM(SalesData[[#This Row],[Customer Name]])</f>
        <v>Vivek More</v>
      </c>
      <c r="E459" t="s">
        <v>46</v>
      </c>
      <c r="F459" t="s">
        <v>23</v>
      </c>
      <c r="G459" t="s">
        <v>35</v>
      </c>
      <c r="H459" t="s">
        <v>36</v>
      </c>
      <c r="I459" s="10">
        <v>4</v>
      </c>
      <c r="J459" s="12">
        <v>0.05</v>
      </c>
      <c r="K459" s="8">
        <v>1230.32</v>
      </c>
      <c r="L459">
        <v>4675.22</v>
      </c>
      <c r="M459" s="8">
        <v>1395.12</v>
      </c>
      <c r="N459" s="8">
        <v>3280.1</v>
      </c>
      <c r="O459" t="s">
        <v>37</v>
      </c>
      <c r="P459" t="str">
        <f>UPPER(TRIM(SalesData[[#This Row],[Payment Mode]]))</f>
        <v>DEBIT CARD</v>
      </c>
    </row>
    <row r="460" spans="1:16" x14ac:dyDescent="0.35">
      <c r="A460" s="4" t="s">
        <v>534</v>
      </c>
      <c r="B460" s="6">
        <v>45993</v>
      </c>
      <c r="C460" t="s">
        <v>72</v>
      </c>
      <c r="D460" t="str">
        <f>TRIM(SalesData[[#This Row],[Customer Name]])</f>
        <v>Riya Shah</v>
      </c>
      <c r="E460" t="s">
        <v>83</v>
      </c>
      <c r="F460" t="s">
        <v>23</v>
      </c>
      <c r="G460" t="s">
        <v>41</v>
      </c>
      <c r="H460" t="s">
        <v>42</v>
      </c>
      <c r="I460" s="10">
        <v>3</v>
      </c>
      <c r="J460" s="12">
        <v>0.05</v>
      </c>
      <c r="K460" s="8">
        <v>1830.04</v>
      </c>
      <c r="L460">
        <v>5215.6099999999997</v>
      </c>
      <c r="M460" s="8">
        <v>2024.34</v>
      </c>
      <c r="N460" s="8">
        <v>3191.27</v>
      </c>
      <c r="O460" t="s">
        <v>48</v>
      </c>
      <c r="P460" t="str">
        <f>UPPER(TRIM(SalesData[[#This Row],[Payment Mode]]))</f>
        <v>CREDIT CARD</v>
      </c>
    </row>
    <row r="461" spans="1:16" x14ac:dyDescent="0.35">
      <c r="A461" s="4" t="s">
        <v>535</v>
      </c>
      <c r="B461" s="6">
        <v>45993</v>
      </c>
      <c r="C461" t="s">
        <v>45</v>
      </c>
      <c r="D461" t="str">
        <f>TRIM(SalesData[[#This Row],[Customer Name]])</f>
        <v>Nikhil Gupta</v>
      </c>
      <c r="E461" t="s">
        <v>16</v>
      </c>
      <c r="F461" t="s">
        <v>16</v>
      </c>
      <c r="G461" t="s">
        <v>24</v>
      </c>
      <c r="H461" t="s">
        <v>25</v>
      </c>
      <c r="I461" s="10">
        <v>2</v>
      </c>
      <c r="J461" s="12">
        <v>0.05</v>
      </c>
      <c r="K461" s="8">
        <v>9019.11</v>
      </c>
      <c r="L461">
        <v>17136.310000000001</v>
      </c>
      <c r="M461" s="8">
        <v>9290.16</v>
      </c>
      <c r="N461" s="8">
        <v>7846.15</v>
      </c>
      <c r="O461" t="s">
        <v>26</v>
      </c>
      <c r="P461" t="str">
        <f>UPPER(TRIM(SalesData[[#This Row],[Payment Mode]]))</f>
        <v>NET BANKING</v>
      </c>
    </row>
    <row r="462" spans="1:16" x14ac:dyDescent="0.35">
      <c r="A462" s="4" t="s">
        <v>536</v>
      </c>
      <c r="B462" s="6">
        <v>45994</v>
      </c>
      <c r="C462" t="s">
        <v>116</v>
      </c>
      <c r="D462" t="str">
        <f>TRIM(SalesData[[#This Row],[Customer Name]])</f>
        <v>Sneha Kulkarni</v>
      </c>
      <c r="E462" t="s">
        <v>22</v>
      </c>
      <c r="F462" t="s">
        <v>23</v>
      </c>
      <c r="G462" t="s">
        <v>47</v>
      </c>
      <c r="H462" t="s">
        <v>25</v>
      </c>
      <c r="I462" s="10">
        <v>5</v>
      </c>
      <c r="J462" s="12">
        <v>0.05</v>
      </c>
      <c r="K462" s="8">
        <v>5845.13</v>
      </c>
      <c r="L462">
        <v>27764.37</v>
      </c>
      <c r="M462" s="8">
        <v>13013.85</v>
      </c>
      <c r="N462" s="8">
        <v>14750.52</v>
      </c>
      <c r="O462" t="s">
        <v>48</v>
      </c>
      <c r="P462" t="str">
        <f>UPPER(TRIM(SalesData[[#This Row],[Payment Mode]]))</f>
        <v>CREDIT CARD</v>
      </c>
    </row>
    <row r="463" spans="1:16" x14ac:dyDescent="0.35">
      <c r="A463" s="4" t="s">
        <v>537</v>
      </c>
      <c r="B463" s="6">
        <v>45996</v>
      </c>
      <c r="C463" t="s">
        <v>56</v>
      </c>
      <c r="D463" t="str">
        <f>TRIM(SalesData[[#This Row],[Customer Name]])</f>
        <v>Pooja Shinde</v>
      </c>
      <c r="E463" t="s">
        <v>40</v>
      </c>
      <c r="F463" t="s">
        <v>23</v>
      </c>
      <c r="G463" t="s">
        <v>77</v>
      </c>
      <c r="H463" t="s">
        <v>25</v>
      </c>
      <c r="I463" s="10">
        <v>2</v>
      </c>
      <c r="J463" s="12">
        <v>0</v>
      </c>
      <c r="K463" s="8">
        <v>7793.92</v>
      </c>
      <c r="L463">
        <v>15587.84</v>
      </c>
      <c r="M463" s="8">
        <v>6752.62</v>
      </c>
      <c r="N463" s="8">
        <v>8835.2199999999993</v>
      </c>
      <c r="O463" t="s">
        <v>26</v>
      </c>
      <c r="P463" t="str">
        <f>UPPER(TRIM(SalesData[[#This Row],[Payment Mode]]))</f>
        <v>NET BANKING</v>
      </c>
    </row>
    <row r="464" spans="1:16" x14ac:dyDescent="0.35">
      <c r="A464" s="4" t="s">
        <v>538</v>
      </c>
      <c r="B464" s="6">
        <v>45996</v>
      </c>
      <c r="C464" t="s">
        <v>21</v>
      </c>
      <c r="D464" t="str">
        <f>TRIM(SalesData[[#This Row],[Customer Name]])</f>
        <v>Aarav Sharma</v>
      </c>
      <c r="E464" t="s">
        <v>46</v>
      </c>
      <c r="F464" t="s">
        <v>23</v>
      </c>
      <c r="G464" t="s">
        <v>24</v>
      </c>
      <c r="H464" t="s">
        <v>25</v>
      </c>
      <c r="I464" s="10">
        <v>1</v>
      </c>
      <c r="J464" s="12">
        <v>0.05</v>
      </c>
      <c r="K464" s="8">
        <v>9426.82</v>
      </c>
      <c r="L464">
        <v>8955.48</v>
      </c>
      <c r="M464" s="8">
        <v>4306.41</v>
      </c>
      <c r="N464" s="8">
        <v>4649.07</v>
      </c>
      <c r="O464" t="s">
        <v>19</v>
      </c>
      <c r="P464" t="str">
        <f>UPPER(TRIM(SalesData[[#This Row],[Payment Mode]]))</f>
        <v>CASH</v>
      </c>
    </row>
    <row r="465" spans="1:16" x14ac:dyDescent="0.35">
      <c r="A465" s="4" t="s">
        <v>539</v>
      </c>
      <c r="B465" s="6">
        <v>45997</v>
      </c>
      <c r="C465" t="s">
        <v>168</v>
      </c>
      <c r="D465" t="str">
        <f>TRIM(SalesData[[#This Row],[Customer Name]])</f>
        <v>Kavita Singh</v>
      </c>
      <c r="E465" t="s">
        <v>22</v>
      </c>
      <c r="F465" t="s">
        <v>23</v>
      </c>
      <c r="G465" t="s">
        <v>41</v>
      </c>
      <c r="H465" t="s">
        <v>42</v>
      </c>
      <c r="I465" s="10">
        <v>5</v>
      </c>
      <c r="J465" s="12">
        <v>0</v>
      </c>
      <c r="K465" s="8">
        <v>1839.08</v>
      </c>
      <c r="L465">
        <v>9195.4</v>
      </c>
      <c r="M465" s="8">
        <v>3624.65</v>
      </c>
      <c r="N465" s="8">
        <v>5570.75</v>
      </c>
      <c r="O465" t="s">
        <v>19</v>
      </c>
      <c r="P465" t="str">
        <f>UPPER(TRIM(SalesData[[#This Row],[Payment Mode]]))</f>
        <v>CASH</v>
      </c>
    </row>
    <row r="466" spans="1:16" x14ac:dyDescent="0.35">
      <c r="A466" s="4" t="s">
        <v>540</v>
      </c>
      <c r="B466" s="6">
        <v>45997</v>
      </c>
      <c r="C466" t="s">
        <v>39</v>
      </c>
      <c r="D466" t="str">
        <f>TRIM(SalesData[[#This Row],[Customer Name]])</f>
        <v>Akash Wagh</v>
      </c>
      <c r="E466" t="s">
        <v>40</v>
      </c>
      <c r="F466" t="s">
        <v>23</v>
      </c>
      <c r="G466" t="s">
        <v>24</v>
      </c>
      <c r="H466" t="s">
        <v>25</v>
      </c>
      <c r="I466" s="10">
        <v>1</v>
      </c>
      <c r="J466" s="12">
        <v>0</v>
      </c>
      <c r="K466" s="8">
        <v>9206.74</v>
      </c>
      <c r="L466">
        <v>9206.74</v>
      </c>
      <c r="M466" s="8">
        <v>4698.1000000000004</v>
      </c>
      <c r="N466" s="8">
        <v>4508.6400000000003</v>
      </c>
      <c r="O466" t="s">
        <v>19</v>
      </c>
      <c r="P466" t="str">
        <f>UPPER(TRIM(SalesData[[#This Row],[Payment Mode]]))</f>
        <v>CASH</v>
      </c>
    </row>
    <row r="467" spans="1:16" x14ac:dyDescent="0.35">
      <c r="A467" s="4" t="s">
        <v>541</v>
      </c>
      <c r="B467" s="6">
        <v>45998</v>
      </c>
      <c r="C467" t="s">
        <v>34</v>
      </c>
      <c r="D467" t="str">
        <f>TRIM(SalesData[[#This Row],[Customer Name]])</f>
        <v>Meera Desai</v>
      </c>
      <c r="E467" t="s">
        <v>40</v>
      </c>
      <c r="F467" t="s">
        <v>23</v>
      </c>
      <c r="G467" t="s">
        <v>107</v>
      </c>
      <c r="H467" t="s">
        <v>36</v>
      </c>
      <c r="I467" s="10">
        <v>3</v>
      </c>
      <c r="J467" s="12">
        <v>0</v>
      </c>
      <c r="K467" s="8">
        <v>1734.12</v>
      </c>
      <c r="L467">
        <v>5202.3599999999997</v>
      </c>
      <c r="M467" s="8">
        <v>1715.19</v>
      </c>
      <c r="N467" s="8">
        <v>3487.17</v>
      </c>
      <c r="O467" t="s">
        <v>48</v>
      </c>
      <c r="P467" t="str">
        <f>UPPER(TRIM(SalesData[[#This Row],[Payment Mode]]))</f>
        <v>CREDIT CARD</v>
      </c>
    </row>
    <row r="468" spans="1:16" x14ac:dyDescent="0.35">
      <c r="A468" s="4" t="s">
        <v>542</v>
      </c>
      <c r="B468" s="6">
        <v>45998</v>
      </c>
      <c r="C468" t="s">
        <v>39</v>
      </c>
      <c r="D468" t="str">
        <f>TRIM(SalesData[[#This Row],[Customer Name]])</f>
        <v>Akash Wagh</v>
      </c>
      <c r="E468" t="s">
        <v>16</v>
      </c>
      <c r="F468" t="s">
        <v>16</v>
      </c>
      <c r="G468" t="s">
        <v>107</v>
      </c>
      <c r="H468" t="s">
        <v>36</v>
      </c>
      <c r="I468" s="10">
        <v>1</v>
      </c>
      <c r="J468" s="12">
        <v>0.1</v>
      </c>
      <c r="K468" s="8">
        <v>1796.47</v>
      </c>
      <c r="L468">
        <v>1616.82</v>
      </c>
      <c r="M468" s="8">
        <v>629.12</v>
      </c>
      <c r="N468" s="8">
        <v>987.7</v>
      </c>
      <c r="O468" t="s">
        <v>26</v>
      </c>
      <c r="P468" t="str">
        <f>UPPER(TRIM(SalesData[[#This Row],[Payment Mode]]))</f>
        <v>NET BANKING</v>
      </c>
    </row>
    <row r="469" spans="1:16" x14ac:dyDescent="0.35">
      <c r="A469" s="4" t="s">
        <v>543</v>
      </c>
      <c r="B469" s="6">
        <v>46001</v>
      </c>
      <c r="C469" t="s">
        <v>116</v>
      </c>
      <c r="D469" t="str">
        <f>TRIM(SalesData[[#This Row],[Customer Name]])</f>
        <v>Sneha Kulkarni</v>
      </c>
      <c r="E469" t="s">
        <v>73</v>
      </c>
      <c r="F469" t="s">
        <v>74</v>
      </c>
      <c r="G469" t="s">
        <v>41</v>
      </c>
      <c r="H469" t="s">
        <v>42</v>
      </c>
      <c r="I469" s="10">
        <v>1</v>
      </c>
      <c r="J469" s="12">
        <v>0.1</v>
      </c>
      <c r="K469" s="8">
        <v>1718.12</v>
      </c>
      <c r="L469">
        <v>1546.31</v>
      </c>
      <c r="M469" s="8">
        <v>672.66</v>
      </c>
      <c r="N469" s="8">
        <v>873.65</v>
      </c>
      <c r="O469" t="s">
        <v>19</v>
      </c>
      <c r="P469" t="str">
        <f>UPPER(TRIM(SalesData[[#This Row],[Payment Mode]]))</f>
        <v>CASH</v>
      </c>
    </row>
    <row r="470" spans="1:16" x14ac:dyDescent="0.35">
      <c r="A470" s="4" t="s">
        <v>544</v>
      </c>
      <c r="B470" s="6">
        <v>46001</v>
      </c>
      <c r="C470" t="s">
        <v>21</v>
      </c>
      <c r="D470" t="str">
        <f>TRIM(SalesData[[#This Row],[Customer Name]])</f>
        <v>Aarav Sharma</v>
      </c>
      <c r="E470" t="s">
        <v>46</v>
      </c>
      <c r="F470" t="s">
        <v>23</v>
      </c>
      <c r="G470" t="s">
        <v>47</v>
      </c>
      <c r="H470" t="s">
        <v>25</v>
      </c>
      <c r="I470" s="10">
        <v>3</v>
      </c>
      <c r="J470" s="12">
        <v>0</v>
      </c>
      <c r="K470" s="8">
        <v>5805.83</v>
      </c>
      <c r="L470">
        <v>17417.490000000002</v>
      </c>
      <c r="M470" s="8">
        <v>7498.77</v>
      </c>
      <c r="N470" s="8">
        <v>9918.7199999999993</v>
      </c>
      <c r="O470" t="s">
        <v>43</v>
      </c>
      <c r="P470" t="str">
        <f>UPPER(TRIM(SalesData[[#This Row],[Payment Mode]]))</f>
        <v>UPI</v>
      </c>
    </row>
    <row r="471" spans="1:16" x14ac:dyDescent="0.35">
      <c r="A471" s="4" t="s">
        <v>545</v>
      </c>
      <c r="B471" s="6">
        <v>46001</v>
      </c>
      <c r="C471" t="s">
        <v>168</v>
      </c>
      <c r="D471" t="str">
        <f>TRIM(SalesData[[#This Row],[Customer Name]])</f>
        <v>Kavita Singh</v>
      </c>
      <c r="E471" t="s">
        <v>22</v>
      </c>
      <c r="F471" t="s">
        <v>23</v>
      </c>
      <c r="G471" t="s">
        <v>101</v>
      </c>
      <c r="H471" t="s">
        <v>18</v>
      </c>
      <c r="I471" s="10">
        <v>5</v>
      </c>
      <c r="J471" s="12">
        <v>0.05</v>
      </c>
      <c r="K471" s="8">
        <v>18374.53</v>
      </c>
      <c r="L471">
        <v>87279.02</v>
      </c>
      <c r="M471" s="8">
        <v>38082.35</v>
      </c>
      <c r="N471" s="8">
        <v>49196.67</v>
      </c>
      <c r="O471" t="s">
        <v>48</v>
      </c>
      <c r="P471" t="str">
        <f>UPPER(TRIM(SalesData[[#This Row],[Payment Mode]]))</f>
        <v>CREDIT CARD</v>
      </c>
    </row>
    <row r="472" spans="1:16" x14ac:dyDescent="0.35">
      <c r="A472" s="4" t="s">
        <v>546</v>
      </c>
      <c r="B472" s="6">
        <v>46003</v>
      </c>
      <c r="C472" t="s">
        <v>50</v>
      </c>
      <c r="D472" t="str">
        <f>TRIM(SalesData[[#This Row],[Customer Name]])</f>
        <v>Priya Patil</v>
      </c>
      <c r="E472" t="s">
        <v>73</v>
      </c>
      <c r="F472" t="s">
        <v>74</v>
      </c>
      <c r="G472" t="s">
        <v>41</v>
      </c>
      <c r="H472" t="s">
        <v>42</v>
      </c>
      <c r="I472" s="10">
        <v>2</v>
      </c>
      <c r="J472" s="12">
        <v>0.1</v>
      </c>
      <c r="K472" s="8">
        <v>1883.81</v>
      </c>
      <c r="L472">
        <v>3390.86</v>
      </c>
      <c r="M472" s="8">
        <v>1443.18</v>
      </c>
      <c r="N472" s="8">
        <v>1947.68</v>
      </c>
      <c r="O472" t="s">
        <v>19</v>
      </c>
      <c r="P472" t="str">
        <f>UPPER(TRIM(SalesData[[#This Row],[Payment Mode]]))</f>
        <v>CASH</v>
      </c>
    </row>
    <row r="473" spans="1:16" x14ac:dyDescent="0.35">
      <c r="A473" s="4" t="s">
        <v>547</v>
      </c>
      <c r="B473" s="6">
        <v>46006</v>
      </c>
      <c r="C473" t="s">
        <v>59</v>
      </c>
      <c r="D473" t="str">
        <f>TRIM(SalesData[[#This Row],[Customer Name]])</f>
        <v>Rohan Deshmukh</v>
      </c>
      <c r="E473" t="s">
        <v>46</v>
      </c>
      <c r="F473" t="s">
        <v>23</v>
      </c>
      <c r="G473" t="s">
        <v>107</v>
      </c>
      <c r="H473" t="s">
        <v>36</v>
      </c>
      <c r="I473" s="10">
        <v>1</v>
      </c>
      <c r="J473" s="12">
        <v>0.15</v>
      </c>
      <c r="K473" s="8">
        <v>1842.82</v>
      </c>
      <c r="L473">
        <v>1566.4</v>
      </c>
      <c r="M473" s="8">
        <v>603.26</v>
      </c>
      <c r="N473" s="8">
        <v>963.14</v>
      </c>
      <c r="O473" t="s">
        <v>19</v>
      </c>
      <c r="P473" t="str">
        <f>UPPER(TRIM(SalesData[[#This Row],[Payment Mode]]))</f>
        <v>CASH</v>
      </c>
    </row>
    <row r="474" spans="1:16" x14ac:dyDescent="0.35">
      <c r="A474" s="4" t="s">
        <v>548</v>
      </c>
      <c r="B474" s="6">
        <v>46007</v>
      </c>
      <c r="C474" t="s">
        <v>39</v>
      </c>
      <c r="D474" t="str">
        <f>TRIM(SalesData[[#This Row],[Customer Name]])</f>
        <v>Akash Wagh</v>
      </c>
      <c r="E474" t="s">
        <v>83</v>
      </c>
      <c r="F474" t="s">
        <v>23</v>
      </c>
      <c r="G474" t="s">
        <v>35</v>
      </c>
      <c r="H474" t="s">
        <v>36</v>
      </c>
      <c r="I474" s="10">
        <v>5</v>
      </c>
      <c r="J474" s="12">
        <v>0.1</v>
      </c>
      <c r="K474" s="8">
        <v>1202.07</v>
      </c>
      <c r="L474">
        <v>5409.32</v>
      </c>
      <c r="M474" s="8">
        <v>1739.55</v>
      </c>
      <c r="N474" s="8">
        <v>3669.77</v>
      </c>
      <c r="O474" t="s">
        <v>43</v>
      </c>
      <c r="P474" t="str">
        <f>UPPER(TRIM(SalesData[[#This Row],[Payment Mode]]))</f>
        <v>UPI</v>
      </c>
    </row>
    <row r="475" spans="1:16" x14ac:dyDescent="0.35">
      <c r="A475" s="4" t="s">
        <v>549</v>
      </c>
      <c r="B475" s="6">
        <v>46007</v>
      </c>
      <c r="C475" t="s">
        <v>85</v>
      </c>
      <c r="D475" t="str">
        <f>TRIM(SalesData[[#This Row],[Customer Name]])</f>
        <v>Amit Verma</v>
      </c>
      <c r="E475" t="s">
        <v>83</v>
      </c>
      <c r="F475" t="s">
        <v>23</v>
      </c>
      <c r="G475" t="s">
        <v>41</v>
      </c>
      <c r="H475" t="s">
        <v>42</v>
      </c>
      <c r="I475" s="10">
        <v>1</v>
      </c>
      <c r="J475" s="12">
        <v>0</v>
      </c>
      <c r="K475" s="8">
        <v>1750.56</v>
      </c>
      <c r="L475">
        <v>1750.56</v>
      </c>
      <c r="M475" s="8">
        <v>690.57</v>
      </c>
      <c r="N475" s="8">
        <v>1059.99</v>
      </c>
      <c r="O475" t="s">
        <v>43</v>
      </c>
      <c r="P475" t="str">
        <f>UPPER(TRIM(SalesData[[#This Row],[Payment Mode]]))</f>
        <v>UPI</v>
      </c>
    </row>
    <row r="476" spans="1:16" x14ac:dyDescent="0.35">
      <c r="A476" s="4" t="s">
        <v>550</v>
      </c>
      <c r="B476" s="6">
        <v>46007</v>
      </c>
      <c r="C476" t="s">
        <v>56</v>
      </c>
      <c r="D476" t="str">
        <f>TRIM(SalesData[[#This Row],[Customer Name]])</f>
        <v>Pooja Shinde</v>
      </c>
      <c r="E476" t="s">
        <v>31</v>
      </c>
      <c r="F476" t="s">
        <v>23</v>
      </c>
      <c r="G476" t="s">
        <v>75</v>
      </c>
      <c r="H476" t="s">
        <v>18</v>
      </c>
      <c r="I476" s="10">
        <v>4</v>
      </c>
      <c r="J476" s="12">
        <v>0.05</v>
      </c>
      <c r="K476" s="8">
        <v>16385.57</v>
      </c>
      <c r="L476">
        <v>62265.17</v>
      </c>
      <c r="M476" s="8">
        <v>36107.96</v>
      </c>
      <c r="N476" s="8">
        <v>26157.21</v>
      </c>
      <c r="O476" t="s">
        <v>48</v>
      </c>
      <c r="P476" t="str">
        <f>UPPER(TRIM(SalesData[[#This Row],[Payment Mode]]))</f>
        <v>CREDIT CARD</v>
      </c>
    </row>
    <row r="477" spans="1:16" x14ac:dyDescent="0.35">
      <c r="A477" s="4" t="s">
        <v>551</v>
      </c>
      <c r="B477" s="6">
        <v>46007</v>
      </c>
      <c r="C477" t="s">
        <v>89</v>
      </c>
      <c r="D477" t="str">
        <f>TRIM(SalesData[[#This Row],[Customer Name]])</f>
        <v>Kunal Thakur</v>
      </c>
      <c r="E477" t="s">
        <v>86</v>
      </c>
      <c r="F477" t="s">
        <v>87</v>
      </c>
      <c r="G477" t="s">
        <v>60</v>
      </c>
      <c r="H477" t="s">
        <v>36</v>
      </c>
      <c r="I477" s="10">
        <v>4</v>
      </c>
      <c r="J477" s="12">
        <v>0</v>
      </c>
      <c r="K477" s="8">
        <v>3666.37</v>
      </c>
      <c r="L477">
        <v>14665.48</v>
      </c>
      <c r="M477" s="8">
        <v>4952.16</v>
      </c>
      <c r="N477" s="8">
        <v>9713.32</v>
      </c>
      <c r="O477" t="s">
        <v>37</v>
      </c>
      <c r="P477" t="str">
        <f>UPPER(TRIM(SalesData[[#This Row],[Payment Mode]]))</f>
        <v>DEBIT CARD</v>
      </c>
    </row>
    <row r="478" spans="1:16" x14ac:dyDescent="0.35">
      <c r="A478" s="4" t="s">
        <v>552</v>
      </c>
      <c r="B478" s="6">
        <v>46008</v>
      </c>
      <c r="C478" t="s">
        <v>168</v>
      </c>
      <c r="D478" t="str">
        <f>TRIM(SalesData[[#This Row],[Customer Name]])</f>
        <v>Kavita Singh</v>
      </c>
      <c r="E478" t="s">
        <v>16</v>
      </c>
      <c r="F478" t="s">
        <v>16</v>
      </c>
      <c r="G478" t="s">
        <v>101</v>
      </c>
      <c r="H478" t="s">
        <v>18</v>
      </c>
      <c r="I478" s="10">
        <v>4</v>
      </c>
      <c r="J478" s="12">
        <v>0.1</v>
      </c>
      <c r="K478" s="8">
        <v>18866.150000000001</v>
      </c>
      <c r="L478">
        <v>67918.14</v>
      </c>
      <c r="M478" s="8">
        <v>32938.04</v>
      </c>
      <c r="N478" s="8">
        <v>34980.1</v>
      </c>
      <c r="O478" t="s">
        <v>43</v>
      </c>
      <c r="P478" t="str">
        <f>UPPER(TRIM(SalesData[[#This Row],[Payment Mode]]))</f>
        <v>UPI</v>
      </c>
    </row>
    <row r="479" spans="1:16" x14ac:dyDescent="0.35">
      <c r="A479" s="4" t="s">
        <v>553</v>
      </c>
      <c r="B479" s="6">
        <v>46009</v>
      </c>
      <c r="C479" t="s">
        <v>64</v>
      </c>
      <c r="D479" t="str">
        <f>TRIM(SalesData[[#This Row],[Customer Name]])</f>
        <v>Neha Jadhav</v>
      </c>
      <c r="E479" t="s">
        <v>83</v>
      </c>
      <c r="F479" t="s">
        <v>23</v>
      </c>
      <c r="G479" t="s">
        <v>41</v>
      </c>
      <c r="H479" t="s">
        <v>42</v>
      </c>
      <c r="I479" s="10">
        <v>2</v>
      </c>
      <c r="J479" s="12">
        <v>0.1</v>
      </c>
      <c r="K479" s="8">
        <v>1736.78</v>
      </c>
      <c r="L479">
        <v>3126.2</v>
      </c>
      <c r="M479" s="8">
        <v>1394.78</v>
      </c>
      <c r="N479" s="8">
        <v>1731.42</v>
      </c>
      <c r="O479" t="s">
        <v>48</v>
      </c>
      <c r="P479" t="str">
        <f>UPPER(TRIM(SalesData[[#This Row],[Payment Mode]]))</f>
        <v>CREDIT CARD</v>
      </c>
    </row>
    <row r="480" spans="1:16" x14ac:dyDescent="0.35">
      <c r="A480" s="4" t="s">
        <v>554</v>
      </c>
      <c r="B480" s="6">
        <v>46011</v>
      </c>
      <c r="C480" t="s">
        <v>168</v>
      </c>
      <c r="D480" t="str">
        <f>TRIM(SalesData[[#This Row],[Customer Name]])</f>
        <v>Kavita Singh</v>
      </c>
      <c r="E480" t="s">
        <v>46</v>
      </c>
      <c r="F480" t="s">
        <v>23</v>
      </c>
      <c r="G480" t="s">
        <v>41</v>
      </c>
      <c r="H480" t="s">
        <v>42</v>
      </c>
      <c r="I480" s="10">
        <v>3</v>
      </c>
      <c r="J480" s="12">
        <v>0.1</v>
      </c>
      <c r="K480" s="8">
        <v>1853.89</v>
      </c>
      <c r="L480">
        <v>5005.5</v>
      </c>
      <c r="M480" s="8">
        <v>2140.89</v>
      </c>
      <c r="N480" s="8">
        <v>2864.61</v>
      </c>
      <c r="O480" t="s">
        <v>37</v>
      </c>
      <c r="P480" t="str">
        <f>UPPER(TRIM(SalesData[[#This Row],[Payment Mode]]))</f>
        <v>DEBIT CARD</v>
      </c>
    </row>
    <row r="481" spans="1:16" x14ac:dyDescent="0.35">
      <c r="A481" s="4" t="s">
        <v>555</v>
      </c>
      <c r="B481" s="6">
        <v>46011</v>
      </c>
      <c r="C481" t="s">
        <v>85</v>
      </c>
      <c r="D481" t="str">
        <f>TRIM(SalesData[[#This Row],[Customer Name]])</f>
        <v>Amit Verma</v>
      </c>
      <c r="E481" t="s">
        <v>105</v>
      </c>
      <c r="F481" t="s">
        <v>106</v>
      </c>
      <c r="G481" t="s">
        <v>101</v>
      </c>
      <c r="H481" t="s">
        <v>18</v>
      </c>
      <c r="I481" s="10">
        <v>2</v>
      </c>
      <c r="J481" s="12">
        <v>0</v>
      </c>
      <c r="K481" s="8">
        <v>17385.52</v>
      </c>
      <c r="L481">
        <v>34771.040000000001</v>
      </c>
      <c r="M481" s="8">
        <v>16611.18</v>
      </c>
      <c r="N481" s="8">
        <v>18159.86</v>
      </c>
      <c r="O481" t="s">
        <v>43</v>
      </c>
      <c r="P481" t="str">
        <f>UPPER(TRIM(SalesData[[#This Row],[Payment Mode]]))</f>
        <v>UPI</v>
      </c>
    </row>
    <row r="482" spans="1:16" x14ac:dyDescent="0.35">
      <c r="A482" s="4" t="s">
        <v>556</v>
      </c>
      <c r="B482" s="6">
        <v>46011</v>
      </c>
      <c r="C482" t="s">
        <v>116</v>
      </c>
      <c r="D482" t="str">
        <f>TRIM(SalesData[[#This Row],[Customer Name]])</f>
        <v>Sneha Kulkarni</v>
      </c>
      <c r="E482" t="s">
        <v>40</v>
      </c>
      <c r="F482" t="s">
        <v>23</v>
      </c>
      <c r="G482" t="s">
        <v>47</v>
      </c>
      <c r="H482" t="s">
        <v>25</v>
      </c>
      <c r="I482" s="10">
        <v>2</v>
      </c>
      <c r="J482" s="12">
        <v>0.1</v>
      </c>
      <c r="K482" s="8">
        <v>6047.21</v>
      </c>
      <c r="L482">
        <v>10884.98</v>
      </c>
      <c r="M482" s="8">
        <v>4969.3</v>
      </c>
      <c r="N482" s="8">
        <v>5915.68</v>
      </c>
      <c r="O482" t="s">
        <v>48</v>
      </c>
      <c r="P482" t="str">
        <f>UPPER(TRIM(SalesData[[#This Row],[Payment Mode]]))</f>
        <v>CREDIT CARD</v>
      </c>
    </row>
    <row r="483" spans="1:16" x14ac:dyDescent="0.35">
      <c r="A483" s="4" t="s">
        <v>557</v>
      </c>
      <c r="B483" s="6">
        <v>46012</v>
      </c>
      <c r="C483" t="s">
        <v>168</v>
      </c>
      <c r="D483" t="str">
        <f>TRIM(SalesData[[#This Row],[Customer Name]])</f>
        <v>Kavita Singh</v>
      </c>
      <c r="E483" t="s">
        <v>105</v>
      </c>
      <c r="F483" t="s">
        <v>106</v>
      </c>
      <c r="G483" t="s">
        <v>47</v>
      </c>
      <c r="H483" t="s">
        <v>25</v>
      </c>
      <c r="I483" s="10">
        <v>5</v>
      </c>
      <c r="J483" s="12">
        <v>0.05</v>
      </c>
      <c r="K483" s="8">
        <v>6168.33</v>
      </c>
      <c r="L483">
        <v>29299.57</v>
      </c>
      <c r="M483" s="8">
        <v>12254.55</v>
      </c>
      <c r="N483" s="8">
        <v>17045.02</v>
      </c>
      <c r="O483" t="s">
        <v>19</v>
      </c>
      <c r="P483" t="str">
        <f>UPPER(TRIM(SalesData[[#This Row],[Payment Mode]]))</f>
        <v>CASH</v>
      </c>
    </row>
    <row r="484" spans="1:16" x14ac:dyDescent="0.35">
      <c r="A484" s="4" t="s">
        <v>558</v>
      </c>
      <c r="B484" s="6">
        <v>46014</v>
      </c>
      <c r="C484" t="s">
        <v>62</v>
      </c>
      <c r="D484" t="str">
        <f>TRIM(SalesData[[#This Row],[Customer Name]])</f>
        <v>Vivek More</v>
      </c>
      <c r="E484" t="s">
        <v>83</v>
      </c>
      <c r="F484" t="s">
        <v>23</v>
      </c>
      <c r="G484" t="s">
        <v>101</v>
      </c>
      <c r="H484" t="s">
        <v>18</v>
      </c>
      <c r="I484" s="10">
        <v>5</v>
      </c>
      <c r="J484" s="12">
        <v>0</v>
      </c>
      <c r="K484" s="8">
        <v>17852.3</v>
      </c>
      <c r="L484">
        <v>89261.5</v>
      </c>
      <c r="M484" s="8">
        <v>41870.300000000003</v>
      </c>
      <c r="N484" s="8">
        <v>47391.199999999997</v>
      </c>
      <c r="O484" t="s">
        <v>37</v>
      </c>
      <c r="P484" t="str">
        <f>UPPER(TRIM(SalesData[[#This Row],[Payment Mode]]))</f>
        <v>DEBIT CARD</v>
      </c>
    </row>
    <row r="485" spans="1:16" x14ac:dyDescent="0.35">
      <c r="A485" s="4" t="s">
        <v>559</v>
      </c>
      <c r="B485" s="6">
        <v>46014</v>
      </c>
      <c r="C485" t="s">
        <v>39</v>
      </c>
      <c r="D485" t="str">
        <f>TRIM(SalesData[[#This Row],[Customer Name]])</f>
        <v>Akash Wagh</v>
      </c>
      <c r="E485" t="s">
        <v>86</v>
      </c>
      <c r="F485" t="s">
        <v>87</v>
      </c>
      <c r="G485" t="s">
        <v>32</v>
      </c>
      <c r="H485" t="s">
        <v>18</v>
      </c>
      <c r="I485" s="10">
        <v>1</v>
      </c>
      <c r="J485" s="12">
        <v>0</v>
      </c>
      <c r="K485" s="8">
        <v>50934.21</v>
      </c>
      <c r="L485">
        <v>50934.21</v>
      </c>
      <c r="M485" s="8">
        <v>41941.199999999997</v>
      </c>
      <c r="N485" s="8">
        <v>8993.01</v>
      </c>
      <c r="O485" t="s">
        <v>43</v>
      </c>
      <c r="P485" t="str">
        <f>UPPER(TRIM(SalesData[[#This Row],[Payment Mode]]))</f>
        <v>UPI</v>
      </c>
    </row>
    <row r="486" spans="1:16" x14ac:dyDescent="0.35">
      <c r="A486" s="4" t="s">
        <v>560</v>
      </c>
      <c r="B486" s="6">
        <v>46015</v>
      </c>
      <c r="C486" t="s">
        <v>85</v>
      </c>
      <c r="D486" t="str">
        <f>TRIM(SalesData[[#This Row],[Customer Name]])</f>
        <v>Amit Verma</v>
      </c>
      <c r="E486" t="s">
        <v>83</v>
      </c>
      <c r="F486" t="s">
        <v>23</v>
      </c>
      <c r="G486" t="s">
        <v>60</v>
      </c>
      <c r="H486" t="s">
        <v>36</v>
      </c>
      <c r="I486" s="10">
        <v>3</v>
      </c>
      <c r="J486" s="12">
        <v>0.05</v>
      </c>
      <c r="K486" s="8">
        <v>3356.01</v>
      </c>
      <c r="L486">
        <v>9564.6299999999992</v>
      </c>
      <c r="M486" s="8">
        <v>3595.56</v>
      </c>
      <c r="N486" s="8">
        <v>5969.07</v>
      </c>
      <c r="O486" t="s">
        <v>37</v>
      </c>
      <c r="P486" t="str">
        <f>UPPER(TRIM(SalesData[[#This Row],[Payment Mode]]))</f>
        <v>DEBIT CARD</v>
      </c>
    </row>
    <row r="487" spans="1:16" x14ac:dyDescent="0.35">
      <c r="A487" s="4" t="s">
        <v>561</v>
      </c>
      <c r="B487" s="6">
        <v>46015</v>
      </c>
      <c r="C487" t="s">
        <v>168</v>
      </c>
      <c r="D487" t="str">
        <f>TRIM(SalesData[[#This Row],[Customer Name]])</f>
        <v>Kavita Singh</v>
      </c>
      <c r="E487" t="s">
        <v>105</v>
      </c>
      <c r="F487" t="s">
        <v>106</v>
      </c>
      <c r="G487" t="s">
        <v>107</v>
      </c>
      <c r="H487" t="s">
        <v>36</v>
      </c>
      <c r="I487" s="10">
        <v>3</v>
      </c>
      <c r="J487" s="12">
        <v>0.1</v>
      </c>
      <c r="K487" s="8">
        <v>1718.18</v>
      </c>
      <c r="L487">
        <v>4639.09</v>
      </c>
      <c r="M487" s="8">
        <v>1760.58</v>
      </c>
      <c r="N487" s="8">
        <v>2878.51</v>
      </c>
      <c r="O487" t="s">
        <v>19</v>
      </c>
      <c r="P487" t="str">
        <f>UPPER(TRIM(SalesData[[#This Row],[Payment Mode]]))</f>
        <v>CASH</v>
      </c>
    </row>
    <row r="488" spans="1:16" x14ac:dyDescent="0.35">
      <c r="A488" s="4" t="s">
        <v>562</v>
      </c>
      <c r="B488" s="6">
        <v>46015</v>
      </c>
      <c r="C488" t="s">
        <v>67</v>
      </c>
      <c r="D488" t="str">
        <f>TRIM(SalesData[[#This Row],[Customer Name]])</f>
        <v>Anjali Chavan</v>
      </c>
      <c r="E488" t="s">
        <v>22</v>
      </c>
      <c r="F488" t="s">
        <v>23</v>
      </c>
      <c r="G488" t="s">
        <v>65</v>
      </c>
      <c r="H488" t="s">
        <v>18</v>
      </c>
      <c r="I488" s="10">
        <v>2</v>
      </c>
      <c r="J488" s="12">
        <v>0</v>
      </c>
      <c r="K488" s="8">
        <v>21269.86</v>
      </c>
      <c r="L488">
        <v>42539.72</v>
      </c>
      <c r="M488" s="8">
        <v>27929.86</v>
      </c>
      <c r="N488" s="8">
        <v>14609.86</v>
      </c>
      <c r="O488" t="s">
        <v>19</v>
      </c>
      <c r="P488" t="str">
        <f>UPPER(TRIM(SalesData[[#This Row],[Payment Mode]]))</f>
        <v>CASH</v>
      </c>
    </row>
    <row r="489" spans="1:16" x14ac:dyDescent="0.35">
      <c r="A489" s="4" t="s">
        <v>563</v>
      </c>
      <c r="B489" s="6">
        <v>46016</v>
      </c>
      <c r="C489" t="s">
        <v>15</v>
      </c>
      <c r="D489" t="str">
        <f>TRIM(SalesData[[#This Row],[Customer Name]])</f>
        <v>Isha Bhosale</v>
      </c>
      <c r="E489" t="s">
        <v>40</v>
      </c>
      <c r="F489" t="s">
        <v>23</v>
      </c>
      <c r="G489" t="s">
        <v>75</v>
      </c>
      <c r="H489" t="s">
        <v>18</v>
      </c>
      <c r="I489" s="10">
        <v>4</v>
      </c>
      <c r="J489" s="12">
        <v>0.05</v>
      </c>
      <c r="K489" s="8">
        <v>16213.1</v>
      </c>
      <c r="L489">
        <v>61609.78</v>
      </c>
      <c r="M489" s="8">
        <v>35024.04</v>
      </c>
      <c r="N489" s="8">
        <v>26585.74</v>
      </c>
      <c r="O489" t="s">
        <v>26</v>
      </c>
      <c r="P489" t="str">
        <f>UPPER(TRIM(SalesData[[#This Row],[Payment Mode]]))</f>
        <v>NET BANKING</v>
      </c>
    </row>
    <row r="490" spans="1:16" x14ac:dyDescent="0.35">
      <c r="A490" s="4" t="s">
        <v>564</v>
      </c>
      <c r="B490" s="6">
        <v>46016</v>
      </c>
      <c r="C490" t="s">
        <v>62</v>
      </c>
      <c r="D490" t="str">
        <f>TRIM(SalesData[[#This Row],[Customer Name]])</f>
        <v>Vivek More</v>
      </c>
      <c r="E490" t="s">
        <v>73</v>
      </c>
      <c r="F490" t="s">
        <v>74</v>
      </c>
      <c r="G490" t="s">
        <v>77</v>
      </c>
      <c r="H490" t="s">
        <v>25</v>
      </c>
      <c r="I490" s="10">
        <v>3</v>
      </c>
      <c r="J490" s="12">
        <v>0</v>
      </c>
      <c r="K490" s="8">
        <v>7797.17</v>
      </c>
      <c r="L490">
        <v>23391.51</v>
      </c>
      <c r="M490" s="8">
        <v>10599.51</v>
      </c>
      <c r="N490" s="8">
        <v>12792</v>
      </c>
      <c r="O490" t="s">
        <v>48</v>
      </c>
      <c r="P490" t="str">
        <f>UPPER(TRIM(SalesData[[#This Row],[Payment Mode]]))</f>
        <v>CREDIT CARD</v>
      </c>
    </row>
    <row r="491" spans="1:16" x14ac:dyDescent="0.35">
      <c r="A491" s="4" t="s">
        <v>565</v>
      </c>
      <c r="B491" s="6">
        <v>46016</v>
      </c>
      <c r="C491" t="s">
        <v>62</v>
      </c>
      <c r="D491" t="str">
        <f>TRIM(SalesData[[#This Row],[Customer Name]])</f>
        <v>Vivek More</v>
      </c>
      <c r="E491" t="s">
        <v>16</v>
      </c>
      <c r="F491" t="s">
        <v>16</v>
      </c>
      <c r="G491" t="s">
        <v>32</v>
      </c>
      <c r="H491" t="s">
        <v>18</v>
      </c>
      <c r="I491" s="10">
        <v>4</v>
      </c>
      <c r="J491" s="12">
        <v>0.05</v>
      </c>
      <c r="K491" s="8">
        <v>50326.91</v>
      </c>
      <c r="L491">
        <v>191242.26</v>
      </c>
      <c r="M491" s="8">
        <v>171123.32</v>
      </c>
      <c r="N491" s="8">
        <v>20118.939999999999</v>
      </c>
      <c r="O491" t="s">
        <v>48</v>
      </c>
      <c r="P491" t="str">
        <f>UPPER(TRIM(SalesData[[#This Row],[Payment Mode]]))</f>
        <v>CREDIT CARD</v>
      </c>
    </row>
    <row r="492" spans="1:16" x14ac:dyDescent="0.35">
      <c r="A492" s="4" t="s">
        <v>566</v>
      </c>
      <c r="B492" s="6">
        <v>46018</v>
      </c>
      <c r="C492" t="s">
        <v>50</v>
      </c>
      <c r="D492" t="str">
        <f>TRIM(SalesData[[#This Row],[Customer Name]])</f>
        <v>Priya Patil</v>
      </c>
      <c r="E492" t="s">
        <v>22</v>
      </c>
      <c r="F492" t="s">
        <v>23</v>
      </c>
      <c r="G492" t="s">
        <v>65</v>
      </c>
      <c r="H492" t="s">
        <v>18</v>
      </c>
      <c r="I492" s="10">
        <v>5</v>
      </c>
      <c r="J492" s="12">
        <v>0</v>
      </c>
      <c r="K492" s="8">
        <v>21566.880000000001</v>
      </c>
      <c r="L492">
        <v>107834.4</v>
      </c>
      <c r="M492" s="8">
        <v>68341.8</v>
      </c>
      <c r="N492" s="8">
        <v>39492.6</v>
      </c>
      <c r="O492" t="s">
        <v>37</v>
      </c>
      <c r="P492" t="str">
        <f>UPPER(TRIM(SalesData[[#This Row],[Payment Mode]]))</f>
        <v>DEBIT CARD</v>
      </c>
    </row>
    <row r="493" spans="1:16" x14ac:dyDescent="0.35">
      <c r="A493" s="4" t="s">
        <v>567</v>
      </c>
      <c r="B493" s="6">
        <v>46018</v>
      </c>
      <c r="C493" t="s">
        <v>39</v>
      </c>
      <c r="D493" t="str">
        <f>TRIM(SalesData[[#This Row],[Customer Name]])</f>
        <v>Akash Wagh</v>
      </c>
      <c r="E493" t="s">
        <v>83</v>
      </c>
      <c r="F493" t="s">
        <v>23</v>
      </c>
      <c r="G493" t="s">
        <v>101</v>
      </c>
      <c r="H493" t="s">
        <v>18</v>
      </c>
      <c r="I493" s="10">
        <v>2</v>
      </c>
      <c r="J493" s="12">
        <v>0</v>
      </c>
      <c r="K493" s="8">
        <v>18294.37</v>
      </c>
      <c r="L493">
        <v>36588.74</v>
      </c>
      <c r="M493" s="8">
        <v>15484.86</v>
      </c>
      <c r="N493" s="8">
        <v>21103.88</v>
      </c>
      <c r="O493" t="s">
        <v>19</v>
      </c>
      <c r="P493" t="str">
        <f>UPPER(TRIM(SalesData[[#This Row],[Payment Mode]]))</f>
        <v>CASH</v>
      </c>
    </row>
    <row r="494" spans="1:16" x14ac:dyDescent="0.35">
      <c r="A494" s="4" t="s">
        <v>568</v>
      </c>
      <c r="B494" s="6">
        <v>46020</v>
      </c>
      <c r="C494" t="s">
        <v>67</v>
      </c>
      <c r="D494" t="str">
        <f>TRIM(SalesData[[#This Row],[Customer Name]])</f>
        <v>Anjali Chavan</v>
      </c>
      <c r="E494" t="s">
        <v>46</v>
      </c>
      <c r="F494" t="s">
        <v>23</v>
      </c>
      <c r="G494" t="s">
        <v>107</v>
      </c>
      <c r="H494" t="s">
        <v>36</v>
      </c>
      <c r="I494" s="10">
        <v>3</v>
      </c>
      <c r="J494" s="12">
        <v>0.05</v>
      </c>
      <c r="K494" s="8">
        <v>1734.44</v>
      </c>
      <c r="L494">
        <v>4943.1499999999996</v>
      </c>
      <c r="M494" s="8">
        <v>1727.88</v>
      </c>
      <c r="N494" s="8">
        <v>3215.27</v>
      </c>
      <c r="O494" t="s">
        <v>37</v>
      </c>
      <c r="P494" t="str">
        <f>UPPER(TRIM(SalesData[[#This Row],[Payment Mode]]))</f>
        <v>DEBIT CARD</v>
      </c>
    </row>
    <row r="495" spans="1:16" x14ac:dyDescent="0.35">
      <c r="A495" s="4" t="s">
        <v>569</v>
      </c>
      <c r="B495" s="6">
        <v>46021</v>
      </c>
      <c r="C495" t="s">
        <v>21</v>
      </c>
      <c r="D495" t="str">
        <f>TRIM(SalesData[[#This Row],[Customer Name]])</f>
        <v>Aarav Sharma</v>
      </c>
      <c r="E495" t="s">
        <v>105</v>
      </c>
      <c r="F495" t="s">
        <v>106</v>
      </c>
      <c r="G495" t="s">
        <v>24</v>
      </c>
      <c r="H495" t="s">
        <v>25</v>
      </c>
      <c r="I495" s="10">
        <v>4</v>
      </c>
      <c r="J495" s="12">
        <v>0.15</v>
      </c>
      <c r="K495" s="8">
        <v>8568.02</v>
      </c>
      <c r="L495">
        <v>29131.27</v>
      </c>
      <c r="M495" s="8">
        <v>18426.919999999998</v>
      </c>
      <c r="N495" s="8">
        <v>10704.35</v>
      </c>
      <c r="O495" t="s">
        <v>43</v>
      </c>
      <c r="P495" t="str">
        <f>UPPER(TRIM(SalesData[[#This Row],[Payment Mode]]))</f>
        <v>UPI</v>
      </c>
    </row>
    <row r="496" spans="1:16" x14ac:dyDescent="0.35">
      <c r="A496" s="4" t="s">
        <v>570</v>
      </c>
      <c r="B496" s="6">
        <v>46021</v>
      </c>
      <c r="C496" t="s">
        <v>168</v>
      </c>
      <c r="D496" t="str">
        <f>TRIM(SalesData[[#This Row],[Customer Name]])</f>
        <v>Kavita Singh</v>
      </c>
      <c r="E496" t="s">
        <v>73</v>
      </c>
      <c r="F496" t="s">
        <v>74</v>
      </c>
      <c r="G496" t="s">
        <v>47</v>
      </c>
      <c r="H496" t="s">
        <v>25</v>
      </c>
      <c r="I496" s="10">
        <v>5</v>
      </c>
      <c r="J496" s="12">
        <v>0</v>
      </c>
      <c r="K496" s="8">
        <v>6250.92</v>
      </c>
      <c r="L496">
        <v>31254.6</v>
      </c>
      <c r="M496" s="8">
        <v>12013.45</v>
      </c>
      <c r="N496" s="8">
        <v>19241.150000000001</v>
      </c>
      <c r="O496" t="s">
        <v>43</v>
      </c>
      <c r="P496" t="str">
        <f>UPPER(TRIM(SalesData[[#This Row],[Payment Mode]]))</f>
        <v>UPI</v>
      </c>
    </row>
    <row r="497" spans="1:16" x14ac:dyDescent="0.35">
      <c r="A497" s="4" t="s">
        <v>571</v>
      </c>
      <c r="B497" s="6">
        <v>46021</v>
      </c>
      <c r="C497" t="s">
        <v>56</v>
      </c>
      <c r="D497" t="str">
        <f>TRIM(SalesData[[#This Row],[Customer Name]])</f>
        <v>Pooja Shinde</v>
      </c>
      <c r="E497" t="s">
        <v>16</v>
      </c>
      <c r="F497" t="s">
        <v>16</v>
      </c>
      <c r="G497" t="s">
        <v>65</v>
      </c>
      <c r="H497" t="s">
        <v>18</v>
      </c>
      <c r="I497" s="10">
        <v>5</v>
      </c>
      <c r="J497" s="12">
        <v>0.1</v>
      </c>
      <c r="K497" s="8">
        <v>22313.67</v>
      </c>
      <c r="L497">
        <v>100411.52</v>
      </c>
      <c r="M497" s="8">
        <v>67049.899999999994</v>
      </c>
      <c r="N497" s="8">
        <v>33361.620000000003</v>
      </c>
      <c r="O497" t="s">
        <v>37</v>
      </c>
      <c r="P497" t="str">
        <f>UPPER(TRIM(SalesData[[#This Row],[Payment Mode]]))</f>
        <v>DEBIT CARD</v>
      </c>
    </row>
    <row r="498" spans="1:16" x14ac:dyDescent="0.35">
      <c r="A498" s="4" t="s">
        <v>572</v>
      </c>
      <c r="B498" s="6">
        <v>46022</v>
      </c>
      <c r="C498" t="s">
        <v>59</v>
      </c>
      <c r="D498" t="str">
        <f>TRIM(SalesData[[#This Row],[Customer Name]])</f>
        <v>Rohan Deshmukh</v>
      </c>
      <c r="E498" t="s">
        <v>105</v>
      </c>
      <c r="F498" t="s">
        <v>106</v>
      </c>
      <c r="G498" t="s">
        <v>32</v>
      </c>
      <c r="H498" t="s">
        <v>18</v>
      </c>
      <c r="I498" s="10">
        <v>1</v>
      </c>
      <c r="J498" s="12">
        <v>0.05</v>
      </c>
      <c r="K498" s="8">
        <v>50750.98</v>
      </c>
      <c r="L498">
        <v>48213.43</v>
      </c>
      <c r="M498" s="8">
        <v>42562.82</v>
      </c>
      <c r="N498" s="8">
        <v>5650.61</v>
      </c>
      <c r="O498" t="s">
        <v>37</v>
      </c>
      <c r="P498" t="str">
        <f>UPPER(TRIM(SalesData[[#This Row],[Payment Mode]]))</f>
        <v>DEBIT CARD</v>
      </c>
    </row>
    <row r="499" spans="1:16" x14ac:dyDescent="0.35">
      <c r="A499" s="4" t="s">
        <v>573</v>
      </c>
      <c r="B499" s="6">
        <v>46022</v>
      </c>
      <c r="C499" t="s">
        <v>85</v>
      </c>
      <c r="D499" t="str">
        <f>TRIM(SalesData[[#This Row],[Customer Name]])</f>
        <v>Amit Verma</v>
      </c>
      <c r="E499" t="s">
        <v>28</v>
      </c>
      <c r="F499" t="s">
        <v>23</v>
      </c>
      <c r="G499" t="s">
        <v>17</v>
      </c>
      <c r="H499" t="s">
        <v>18</v>
      </c>
      <c r="I499" s="10">
        <v>4</v>
      </c>
      <c r="J499" s="12">
        <v>0.05</v>
      </c>
      <c r="K499" s="8">
        <v>11594.42</v>
      </c>
      <c r="L499">
        <v>44058.8</v>
      </c>
      <c r="M499" s="8">
        <v>26887.96</v>
      </c>
      <c r="N499" s="8">
        <v>17170.84</v>
      </c>
      <c r="O499" t="s">
        <v>48</v>
      </c>
      <c r="P499" t="str">
        <f>UPPER(TRIM(SalesData[[#This Row],[Payment Mode]]))</f>
        <v>CREDIT CARD</v>
      </c>
    </row>
    <row r="500" spans="1:16" x14ac:dyDescent="0.35">
      <c r="A500" s="4" t="s">
        <v>574</v>
      </c>
      <c r="B500" s="6">
        <v>46022</v>
      </c>
      <c r="C500" t="s">
        <v>59</v>
      </c>
      <c r="D500" t="str">
        <f>TRIM(SalesData[[#This Row],[Customer Name]])</f>
        <v>Rohan Deshmukh</v>
      </c>
      <c r="E500" t="s">
        <v>83</v>
      </c>
      <c r="F500" t="s">
        <v>23</v>
      </c>
      <c r="G500" t="s">
        <v>32</v>
      </c>
      <c r="H500" t="s">
        <v>18</v>
      </c>
      <c r="I500" s="10">
        <v>3</v>
      </c>
      <c r="J500" s="12">
        <v>0.1</v>
      </c>
      <c r="K500" s="8">
        <v>51771.09</v>
      </c>
      <c r="L500">
        <v>139781.94</v>
      </c>
      <c r="M500" s="8">
        <v>125287.53</v>
      </c>
      <c r="N500" s="8">
        <v>14494.41</v>
      </c>
      <c r="O500" t="s">
        <v>43</v>
      </c>
      <c r="P500" t="str">
        <f>UPPER(TRIM(SalesData[[#This Row],[Payment Mode]]))</f>
        <v>UPI</v>
      </c>
    </row>
    <row r="501" spans="1:16" x14ac:dyDescent="0.35">
      <c r="A501" s="4" t="s">
        <v>575</v>
      </c>
      <c r="B501" s="6">
        <v>46022</v>
      </c>
      <c r="C501" t="s">
        <v>93</v>
      </c>
      <c r="D501" t="str">
        <f>TRIM(SalesData[[#This Row],[Customer Name]])</f>
        <v>Aditya Joshi</v>
      </c>
      <c r="E501" t="s">
        <v>53</v>
      </c>
      <c r="F501" t="s">
        <v>54</v>
      </c>
      <c r="G501" t="s">
        <v>75</v>
      </c>
      <c r="H501" t="s">
        <v>18</v>
      </c>
      <c r="I501" s="10">
        <v>2</v>
      </c>
      <c r="J501" s="12">
        <v>0.1</v>
      </c>
      <c r="K501" s="8">
        <v>16062.55</v>
      </c>
      <c r="L501">
        <v>28912.59</v>
      </c>
      <c r="M501" s="8">
        <v>17608.46</v>
      </c>
      <c r="N501" s="8">
        <v>11304.13</v>
      </c>
      <c r="O501" t="s">
        <v>26</v>
      </c>
      <c r="P501" t="str">
        <f>UPPER(TRIM(SalesData[[#This Row],[Payment Mode]]))</f>
        <v>NET BANKING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56D8-01BF-4083-8CED-FFAE7B1FD2EC}">
  <dimension ref="A1:B6"/>
  <sheetViews>
    <sheetView workbookViewId="0">
      <selection sqref="A1:B6"/>
    </sheetView>
  </sheetViews>
  <sheetFormatPr defaultRowHeight="14.5" x14ac:dyDescent="0.35"/>
  <cols>
    <col min="1" max="1" width="18.1796875" bestFit="1" customWidth="1"/>
    <col min="2" max="2" width="14.26953125" bestFit="1" customWidth="1"/>
  </cols>
  <sheetData>
    <row r="1" spans="1:2" x14ac:dyDescent="0.35">
      <c r="A1" t="s">
        <v>579</v>
      </c>
      <c r="B1" s="13">
        <f>SUM(SalesData[Sales])</f>
        <v>17459813.189999998</v>
      </c>
    </row>
    <row r="2" spans="1:2" x14ac:dyDescent="0.35">
      <c r="A2" t="s">
        <v>580</v>
      </c>
      <c r="B2" s="13">
        <f>SUM(SalesData[Profit])</f>
        <v>6150715.4599999934</v>
      </c>
    </row>
    <row r="3" spans="1:2" x14ac:dyDescent="0.35">
      <c r="A3" t="s">
        <v>581</v>
      </c>
      <c r="B3">
        <f>COUNTA(SalesData[Order ID])</f>
        <v>500</v>
      </c>
    </row>
    <row r="4" spans="1:2" x14ac:dyDescent="0.35">
      <c r="A4" t="s">
        <v>582</v>
      </c>
      <c r="B4" s="10">
        <f>SUM(SalesData[Quantity])</f>
        <v>1503</v>
      </c>
    </row>
    <row r="5" spans="1:2" x14ac:dyDescent="0.35">
      <c r="A5" t="s">
        <v>583</v>
      </c>
      <c r="B5" s="13">
        <f>SUM(SalesData[Sales])/COUNTA(SalesData[Order ID])</f>
        <v>34919.626379999994</v>
      </c>
    </row>
    <row r="6" spans="1:2" x14ac:dyDescent="0.35">
      <c r="A6" t="s">
        <v>584</v>
      </c>
      <c r="B6" s="12">
        <f>SUM(SalesData[Profit])/SUM(SalesData[Sales])</f>
        <v>0.35227842320344976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Monthly Sales Analysis</vt:lpstr>
      <vt:lpstr>Product Analysis</vt:lpstr>
      <vt:lpstr>City Analysis</vt:lpstr>
      <vt:lpstr>Raw_Data</vt:lpstr>
      <vt:lpstr>KPI_Summary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Pranesh</cp:lastModifiedBy>
  <dcterms:created xsi:type="dcterms:W3CDTF">2026-09-28T01:11:33Z</dcterms:created>
  <dcterms:modified xsi:type="dcterms:W3CDTF">2026-10-11T08:08:19Z</dcterms:modified>
</cp:coreProperties>
</file>